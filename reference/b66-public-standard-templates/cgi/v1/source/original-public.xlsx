
<file path=[Content_Types].xml><?xml version="1.0" encoding="utf-8"?>
<ns0:Types xmlns:ns0="http://schemas.openxmlformats.org/package/2006/content-types">
  <ns0:Default Extension="emf" ContentType="image/x-emf"/>
  <ns0:Default Extension="jpeg" ContentType="image/jpeg"/>
  <ns0:Default Extension="png" ContentType="image/png"/>
  <ns0:Default Extension="rels" ContentType="application/vnd.openxmlformats-package.relationships+xml"/>
  <ns0:Default Extension="vml" ContentType="application/vnd.openxmlformats-officedocument.vmlDrawing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drawings/drawing0.xml" ContentType="application/vnd.openxmlformats-officedocument.drawing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haansoft.com/office/spreadsheet/8.0">
  <ns0:fileVersion appName="HCell" lastEdited="11.0" lowestEdited="11.0" rupBuild="0.2292"/>
  <ns0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ns1:AlternateContent>
    <ns1:Choice Requires="x15">
      <ns2:absPath url="G:\downloads\"/>
    </ns1:Choice>
  </ns1:AlternateContent>
  <ns0:bookViews>
    <ns0:workbookView xWindow="0" yWindow="0" windowWidth="24750" windowHeight="17190" tabRatio="846"/>
  </ns0:bookViews>
  <ns0:sheets>
    <ns0:sheet name="LED조명" sheetId="1" ns3:id="rId4"/>
  </ns0:sheets>
  <ns0:definedNames>
    <ns0:definedName name="_Fill" localSheetId="0" hidden="1">#REF!</ns0:definedName>
    <ns0:definedName name="_Fill" hidden="1">#REF!</ns0:definedName>
    <ns0:definedName name="_Key1" localSheetId="0" hidden="1">#REF!</ns0:definedName>
    <ns0:definedName name="_Key1" hidden="1">#REF!</ns0:definedName>
    <ns0:definedName name="_Key2" localSheetId="0" hidden="1">#REF!</ns0:definedName>
    <ns0:definedName name="_Key2" hidden="1">#REF!</ns0:definedName>
    <ns0:definedName name="_Order1" hidden="1">255</ns0:definedName>
    <ns0:definedName name="_Order2" hidden="1">255</ns0:definedName>
    <ns0:definedName name="_Sort" hidden="1">#REF!</ns0:definedName>
    <ns0:definedName name="_1_0_" localSheetId="0" hidden="1">[3]합천내역!#REF!</ns0:definedName>
    <ns0:definedName name="_2_0_" localSheetId="0" hidden="1">[3]합천내역!#REF!</ns0:definedName>
    <ns0:definedName name="_3_0_" localSheetId="0" hidden="1">[3]합천내역!#REF!</ns0:definedName>
    <ns0:definedName name="_4_0_" localSheetId="0" hidden="1">[3]합천내역!#REF!</ns0:definedName>
    <ns0:definedName name="_5_0_" localSheetId="0" hidden="1">[3]합천내역!#REF!</ns0:definedName>
    <ns0:definedName name="_6_0_" hidden="1">[3]합천내역!#REF!</ns0:definedName>
    <ns0:definedName name="_7_0_" hidden="1">[3]합천내역!#REF!</ns0:definedName>
    <ns0:definedName name="_8_0_" localSheetId="0" hidden="1">#REF!</ns0:definedName>
    <ns0:definedName name="_9_0_" localSheetId="0" hidden="1">#REF!</ns0:definedName>
    <ns0:definedName name="_10_0" localSheetId="0" hidden="1">#REF!</ns0:definedName>
    <ns0:definedName name="_11_0" localSheetId="0" hidden="1">#REF!</ns0:definedName>
    <ns0:definedName name="_12_0" localSheetId="0" hidden="1">#REF!</ns0:definedName>
    <ns0:definedName name="_13_0" hidden="1">#REF!</ns0:definedName>
    <ns0:definedName name="_14_0" hidden="1">#REF!</ns0:definedName>
    <ns0:definedName name="A1C1" localSheetId="0" hidden="1">#REF!</ns0:definedName>
    <ns0:definedName name="A1C1" hidden="1">#REF!</ns0:definedName>
    <ns0:definedName name="Access_Button" hidden="1">"물품목_2_제품테이블_List"</ns0:definedName>
    <ns0:definedName name="Access_Button1" hidden="1">"물품목_2_제품테이블_List"</ns0:definedName>
    <ns0:definedName name="Access_Button2" hidden="1">"물품목_2_제품테이블_List"</ns0:definedName>
    <ns0:definedName name="asdfasdf" localSheetId="0" hidden="1">{#N/A,#N/A,FALSE,"CCTV"}</ns0:definedName>
    <ns0:definedName name="asdfasdf" hidden="1">{#N/A,#N/A,FALSE,"CCTV"}</ns0:definedName>
    <ns0:definedName name="CG" localSheetId="0">LED조명!CG</ns0:definedName>
    <ns0:definedName name="CG">[0]!CG</ns0:definedName>
    <ns0:definedName name="DANGA">'[23]Y-WORK'!$D$19:$D$19,'[23]Y-WORK'!$F$19:$BD$19</ns0:definedName>
    <ns0:definedName name="ddddd" hidden="1">#REF!</ns0:definedName>
    <ns0:definedName name="f">'[23]Y-WORK'!$D$19:$D$19,'[23]Y-WORK'!$F$19:$BD$19</ns0:definedName>
    <ns0:definedName name="FHFH" hidden="1">'[13]수량산출'!$A$1:$A$8561</ns0:definedName>
    <ns0:definedName name="FHFK" localSheetId="0" hidden="1">'[13]수량산출'!#REF!</ns0:definedName>
    <ns0:definedName name="FHFK" hidden="1">'[13]수량산출'!#REF!</ns0:definedName>
    <ns0:definedName name="han_code" localSheetId="0">'[24]'!han_code</ns0:definedName>
    <ns0:definedName name="han_code">'[24]'!han_code</ns0:definedName>
    <ns0:definedName name="HH" localSheetId="0" hidden="1">#REF!</ns0:definedName>
    <ns0:definedName name="HH" hidden="1">#REF!</ns0:definedName>
    <ns0:definedName name="HHH" localSheetId="0" hidden="1">#REF!</ns0:definedName>
    <ns0:definedName name="HHH" hidden="1">#REF!</ns0:definedName>
    <ns0:definedName name="HHHH" localSheetId="0" hidden="1">#REF!</ns0:definedName>
    <ns0:definedName name="HHHH" hidden="1">#REF!</ns0:definedName>
    <ns0:definedName name="HTML_CodePage" hidden="1">949</ns0:definedName>
    <ns0:definedName name="HTML_Control" localSheetId="0" hidden="1">{"'건축내역'!$A$1:$L$413"}</ns0:definedName>
    <ns0:definedName name="HTML_Control" hidden="1">{"'건축내역'!$A$1:$L$413"}</ns0:definedName>
    <ns0:definedName name="HTML_Description" hidden="1">""</ns0:definedName>
    <ns0:definedName name="HTML_Email" hidden="1">""</ns0:definedName>
    <ns0:definedName name="HTML_Header" hidden="1">"건축내역"</ns0:definedName>
    <ns0:definedName name="HTML_LastUpdate" hidden="1">"00-11-13"</ns0:definedName>
    <ns0:definedName name="HTML_LineAfter" hidden="1">FALSE</ns0:definedName>
    <ns0:definedName name="HTML_LineBefore" hidden="1">FALSE</ns0:definedName>
    <ns0:definedName name="HTML_Name" hidden="1">"HongJin Agriculture Korea"</ns0:definedName>
    <ns0:definedName name="HTML_OBDlg2" hidden="1">TRUE</ns0:definedName>
    <ns0:definedName name="HTML_OBDlg4" hidden="1">TRUE</ns0:definedName>
    <ns0:definedName name="HTML_OS" hidden="1">0</ns0:definedName>
    <ns0:definedName name="HTML_Title" hidden="1">"cost2010"</ns0:definedName>
    <ns0:definedName name="ID">'[23]Y-WORK'!$I$268:$I$417,'[23]Y-WORK'!$I$427:$I$450</ns0:definedName>
    <ns0:definedName name="JJJ" hidden="1">#REF!</ns0:definedName>
    <ns0:definedName name="KKK" localSheetId="0" hidden="1">#REF!</ns0:definedName>
    <ns0:definedName name="KKK" hidden="1">#REF!</ns0:definedName>
    <ns0:definedName name="LLL" localSheetId="0" hidden="1">#REF!</ns0:definedName>
    <ns0:definedName name="LLL" hidden="1">#REF!</ns0:definedName>
    <ns0:definedName name="m" hidden="1">#REF!</ns0:definedName>
    <ns0:definedName name="Macro1" localSheetId="0">'[25]'!Macro1</ns0:definedName>
    <ns0:definedName name="Macro1">'[25]'!Macro1</ns0:definedName>
    <ns0:definedName name="Macro10" localSheetId="0">'[26]'!Macro10</ns0:definedName>
    <ns0:definedName name="Macro10">'[26]'!Macro10</ns0:definedName>
    <ns0:definedName name="Macro11" localSheetId="0">'[25]'!Macro11</ns0:definedName>
    <ns0:definedName name="Macro11">'[25]'!Macro11</ns0:definedName>
    <ns0:definedName name="Macro12" localSheetId="0">'[26]'!Macro12</ns0:definedName>
    <ns0:definedName name="Macro12">'[26]'!Macro12</ns0:definedName>
    <ns0:definedName name="Macro13" localSheetId="0">'[26]'!Macro13</ns0:definedName>
    <ns0:definedName name="Macro13">'[26]'!Macro13</ns0:definedName>
    <ns0:definedName name="Macro14" localSheetId="0">'[26]'!Macro14</ns0:definedName>
    <ns0:definedName name="Macro14">'[26]'!Macro14</ns0:definedName>
    <ns0:definedName name="Macro2" localSheetId="0">'[26]'!Macro2</ns0:definedName>
    <ns0:definedName name="Macro2">'[26]'!Macro2</ns0:definedName>
    <ns0:definedName name="Macro3" localSheetId="0">'[25]'!Macro3</ns0:definedName>
    <ns0:definedName name="Macro3">'[25]'!Macro3</ns0:definedName>
    <ns0:definedName name="Macro4" localSheetId="0">'[25]'!Macro4</ns0:definedName>
    <ns0:definedName name="Macro4">'[25]'!Macro4</ns0:definedName>
    <ns0:definedName name="Macro5" localSheetId="0">'[26]'!Macro5</ns0:definedName>
    <ns0:definedName name="Macro5">'[26]'!Macro5</ns0:definedName>
    <ns0:definedName name="Macro6" localSheetId="0">'[26]'!Macro6</ns0:definedName>
    <ns0:definedName name="Macro6">'[26]'!Macro6</ns0:definedName>
    <ns0:definedName name="Macro7" localSheetId="0">'[26]'!Macro7</ns0:definedName>
    <ns0:definedName name="Macro7">'[26]'!Macro7</ns0:definedName>
    <ns0:definedName name="Macro8" localSheetId="0">'[26]'!Macro8</ns0:definedName>
    <ns0:definedName name="Macro8">'[26]'!Macro8</ns0:definedName>
    <ns0:definedName name="Macro9" localSheetId="0">'[26]'!Macro9</ns0:definedName>
    <ns0:definedName name="Macro9">'[26]'!Macro9</ns0:definedName>
    <ns0:definedName name="MONEY">'[23]Y-WORK'!$F$21:$M$417,'[23]Y-WORK'!$F$427:$M$450</ns0:definedName>
    <ns0:definedName name="moni">'[23]Y-WORK'!$F$21:$M$417,'[23]Y-WORK'!$F$427:$M$450</ns0:definedName>
    <ns0:definedName name="NEWNAME" localSheetId="0" hidden="1">{#N/A,#N/A,FALSE,"CCTV"}</ns0:definedName>
    <ns0:definedName name="NEWNAME" hidden="1">{#N/A,#N/A,FALSE,"CCTV"}</ns0:definedName>
    <ns0:definedName name="OOO" hidden="1">#REF!</ns0:definedName>
    <ns0:definedName name="PPP" hidden="1">#REF!</ns0:definedName>
    <ns0:definedName name="_xlnm.Print_Area" localSheetId="0">LED조명!$A$1:$H$30</ns0:definedName>
    <ns0:definedName name="PRINT_TILIES" localSheetId="0">#REF!,#REF!,#REF!,#REF!,#REF!</ns0:definedName>
    <ns0:definedName name="PRINT_TILIES">#REF!,#REF!,#REF!,#REF!,#REF!</ns0:definedName>
    <ns0:definedName name="PRINT_TILLES">'[22]우수'!$A$1:$IV$3,'[22]우수'!$A$1:$D$65536</ns0:definedName>
    <ns0:definedName name="RK" localSheetId="0" hidden="1">'[13]수량산출'!#REF!</ns0:definedName>
    <ns0:definedName name="RK" hidden="1">'[13]수량산출'!#REF!</ns0:definedName>
    <ns0:definedName name="rkstjs" localSheetId="0">LED조명!rkstjs</ns0:definedName>
    <ns0:definedName name="rkstjs">[0]!rkstjs</ns0:definedName>
    <ns0:definedName name="s">'[23]Y-WORK'!$F$21:$M$417,'[23]Y-WORK'!$F$427:$M$450</ns0:definedName>
    <ns0:definedName name="SORT" localSheetId="0" hidden="1">#REF!</ns0:definedName>
    <ns0:definedName name="SORT" hidden="1">#REF!</ns0:definedName>
    <ns0:definedName name="ss">'[23]Y-WORK'!$I$268:$I$417,'[23]Y-WORK'!$I$427:$I$450</ns0:definedName>
    <ns0:definedName name="TITLE_AEAR">'[27]우수공'!$A$1:$IV$3,'[27]우수공'!$A$1:$D$65536</ns0:definedName>
    <ns0:definedName name="TLFTN" localSheetId="0">LED조명!TLFTN</ns0:definedName>
    <ns0:definedName name="TLFTN">[0]!TLFTN</ns0:definedName>
    <ns0:definedName name="TTTT" hidden="1">#REF!</ns0:definedName>
    <ns0:definedName name="WRITE" localSheetId="0" hidden="1">{#N/A,#N/A,FALSE,"CCTV"}</ns0:definedName>
    <ns0:definedName name="WRITE" hidden="1">{#N/A,#N/A,FALSE,"CCTV"}</ns0:definedName>
    <ns0:definedName name="wrn.BM." localSheetId="0" hidden="1">{#N/A,#N/A,FALSE,"CCTV"}</ns0:definedName>
    <ns0:definedName name="wrn.BM." hidden="1">{#N/A,#N/A,FALSE,"CCTV"}</ns0:definedName>
    <ns0:definedName name="yyy" hidden="1">'[9]수량산출'!$A$1:$A$8561</ns0:definedName>
    <ns0:definedName name="ㄱ" localSheetId="0" hidden="1">'[7]수량산출'!#REF!</ns0:definedName>
    <ns0:definedName name="ㄱ" hidden="1">'[7]수량산출'!#REF!</ns0:definedName>
    <ns0:definedName name="ㄱㄷ" localSheetId="0">LED조명!ㄱㄷ</ns0:definedName>
    <ns0:definedName name="ㄱㄷ">[0]!ㄱㄷ</ns0:definedName>
    <ns0:definedName name="가" hidden="1">'[7]수량산출'!$A$3:$H$8539</ns0:definedName>
    <ns0:definedName name="가스" localSheetId="0" hidden="1">{#N/A,#N/A,FALSE,"CCTV"}</ns0:definedName>
    <ns0:definedName name="가스" hidden="1">{#N/A,#N/A,FALSE,"CCTV"}</ns0:definedName>
    <ns0:definedName name="가아" localSheetId="0" hidden="1">'[16]수량산출'!#REF!</ns0:definedName>
    <ns0:definedName name="가아" hidden="1">'[16]수량산출'!#REF!</ns0:definedName>
    <ns0:definedName name="갑진01">#REF!,#REF!</ns0:definedName>
    <ns0:definedName name="강아지" localSheetId="0" hidden="1">#REF!</ns0:definedName>
    <ns0:definedName name="강아지" hidden="1">#REF!</ns0:definedName>
    <ns0:definedName name="거ㅏ" hidden="1">'[15]수량산출'!$A$3:$H$8539</ns0:definedName>
    <ns0:definedName name="경유가격" localSheetId="0">LED조명!경유가격</ns0:definedName>
    <ns0:definedName name="경유가격">[0]!경유가격</ns0:definedName>
    <ns0:definedName name="공" localSheetId="0" hidden="1">[3]합천내역!#REF!</ns0:definedName>
    <ns0:definedName name="공" hidden="1">[3]합천내역!#REF!</ns0:definedName>
    <ns0:definedName name="공량" localSheetId="0">'[29]'!han_code</ns0:definedName>
    <ns0:definedName name="공량">'[29]'!han_code</ns0:definedName>
    <ns0:definedName name="공장동" localSheetId="0" hidden="1">#REF!</ns0:definedName>
    <ns0:definedName name="공장동" hidden="1">#REF!</ns0:definedName>
    <ns0:definedName name="관급" localSheetId="0">#REF!,#REF!,#REF!</ns0:definedName>
    <ns0:definedName name="관급">#REF!,#REF!,#REF!</ns0:definedName>
    <ns0:definedName name="규격">OFFSET([31]방송!$B$5,0,0,COUNTA([32]제품정보!$B:$B)-6,1)</ns0:definedName>
    <ns0:definedName name="ㄴ">'[23]Y-WORK'!$D$19:$D$19,'[23]Y-WORK'!$F$19:$BD$19</ns0:definedName>
    <ns0:definedName name="ㄴㄴㄴ" localSheetId="0" hidden="1">#REF!</ns0:definedName>
    <ns0:definedName name="ㄴㄴㄴ" hidden="1">#REF!</ns0:definedName>
    <ns0:definedName name="ㄴㄴㄴㄴ" localSheetId="0" hidden="1">#REF!</ns0:definedName>
    <ns0:definedName name="ㄴㄴㄴㄴ" hidden="1">#REF!</ns0:definedName>
    <ns0:definedName name="ㄴㄴㄴㄴㄴ" hidden="1">#REF!</ns0:definedName>
    <ns0:definedName name="내역서전기기계" localSheetId="0">LED조명!내역서전기기계</ns0:definedName>
    <ns0:definedName name="내역서전기기계">[0]!내역서전기기계</ns0:definedName>
    <ns0:definedName name="ㄷㄷ" localSheetId="0" hidden="1">#REF!</ns0:definedName>
    <ns0:definedName name="ㄷㄷ" hidden="1">#REF!</ns0:definedName>
    <ns0:definedName name="단가비교표">#REF!,#REF!</ns0:definedName>
    <ns0:definedName name="되메우기" localSheetId="0">LED조명!되메우기</ns0:definedName>
    <ns0:definedName name="되메우기">[0]!되메우기</ns0:definedName>
    <ns0:definedName name="등용구분" localSheetId="0">LED조명!등용구분</ns0:definedName>
    <ns0:definedName name="등용구분">[0]!등용구분</ns0:definedName>
    <ns0:definedName name="등주높이" localSheetId="0">LED조명!등주높이</ns0:definedName>
    <ns0:definedName name="등주높이">[0]!등주높이</ns0:definedName>
    <ns0:definedName name="ㄹㄹ" localSheetId="0" hidden="1">#REF!</ns0:definedName>
    <ns0:definedName name="ㄹㄹ" hidden="1">#REF!</ns0:definedName>
    <ns0:definedName name="ㄹㅇㄹㅇ" localSheetId="0" hidden="1">#REF!</ns0:definedName>
    <ns0:definedName name="ㄹㅇㄹㅇ" hidden="1">#REF!</ns0:definedName>
    <ns0:definedName name="레미콘수운반DT" localSheetId="0">LED조명!레미콘수운반DT</ns0:definedName>
    <ns0:definedName name="레미콘수운반DT">[0]!레미콘수운반DT</ns0:definedName>
    <ns0:definedName name="류인숙1" localSheetId="0">'[34]'!han_code</ns0:definedName>
    <ns0:definedName name="류인숙1">'[34]'!han_code</ns0:definedName>
    <ns0:definedName name="ㅁㅁ" hidden="1">#REF!</ns0:definedName>
    <ns0:definedName name="매크로1" localSheetId="0">LED조명!매크로1</ns0:definedName>
    <ns0:definedName name="매크로1">[0]!매크로1</ns0:definedName>
    <ns0:definedName name="모래운반" localSheetId="0">LED조명!모래운반</ns0:definedName>
    <ns0:definedName name="모래운반">[0]!모래운반</ns0:definedName>
    <ns0:definedName name="물만골2" localSheetId="0">LED조명!물만골2</ns0:definedName>
    <ns0:definedName name="물만골2">[0]!물만골2</ns0:definedName>
    <ns0:definedName name="ㅂ" hidden="1">'[7]수량산출'!$A$3:$H$8539</ns0:definedName>
    <ns0:definedName name="바이콤" localSheetId="0">LED조명!바이콤</ns0:definedName>
    <ns0:definedName name="바이콤">[0]!바이콤</ns0:definedName>
    <ns0:definedName name="부표번호">'[35]일반부표'!$B$213,'[35]일반부표'!$A$20,'[35]일반부표'!$A$28,'[35]일반부표'!$A$37,'[35]일반부표'!$A$46,'[35]일반부표'!$A$54,'[35]일반부표'!$A$62,'[35]일반부표'!$A$71,'[35]일반부표'!$A$80,'[35]일반부표'!$A$88,'[35]일반부표'!$A$96,'[35]일반부표'!$A$105,'[35]일반부표'!$A$112,'[35]일반부표'!$A$122,'[35]일반부표'!$A$130,'[35]일반부표'!$A$139,'[35]일반부표'!$A$145,'[35]일반부표'!$A$156,'[35]일반부표'!$A$165,'[35]일반부표'!$A$173,'[35]일반부표'!$A$180,'[35]일반부표'!$A$190,'[35]일반부표'!$A$198,'[35]일반부표'!$A$207</ns0:definedName>
    <ns0:definedName name="분소" localSheetId="0">LED조명!분소</ns0:definedName>
    <ns0:definedName name="분소">[0]!분소</ns0:definedName>
    <ns0:definedName name="분소시슼템" localSheetId="0">LED조명!분소시슼템</ns0:definedName>
    <ns0:definedName name="분소시슼템">[0]!분소시슼템</ns0:definedName>
    <ns0:definedName name="분전반제조총괄표" localSheetId="0" hidden="1">{"'건축내역'!$A$1:$L$413"}</ns0:definedName>
    <ns0:definedName name="분전반제조총괄표" hidden="1">{"'건축내역'!$A$1:$L$413"}</ns0:definedName>
    <ns0:definedName name="ㅅㅅ" localSheetId="0" hidden="1">#REF!</ns0:definedName>
    <ns0:definedName name="ㅅㅅ" hidden="1">#REF!</ns0:definedName>
    <ns0:definedName name="사령및분소시스템" localSheetId="0">LED조명!사령및분소시스템</ns0:definedName>
    <ns0:definedName name="사령및분소시스템">[0]!사령및분소시스템</ns0:definedName>
    <ns0:definedName name="사용램프" localSheetId="0">LED조명!사용램프</ns0:definedName>
    <ns0:definedName name="사용램프">[0]!사용램프</ns0:definedName>
    <ns0:definedName name="산" localSheetId="0">LED조명!산</ns0:definedName>
    <ns0:definedName name="산">[0]!산</ns0:definedName>
    <ns0:definedName name="설비" localSheetId="0">LED조명!설비</ns0:definedName>
    <ns0:definedName name="설비">[0]!설비</ns0:definedName>
    <ns0:definedName name="성토3" localSheetId="0">LED조명!성토3</ns0:definedName>
    <ns0:definedName name="성토3">[0]!성토3</ns0:definedName>
    <ns0:definedName name="성토도쟈" localSheetId="0">LED조명!성토도쟈</ns0:definedName>
    <ns0:definedName name="성토도쟈">[0]!성토도쟈</ns0:definedName>
    <ns0:definedName name="소화갑지" localSheetId="0" hidden="1">{#N/A,#N/A,FALSE,"CCTV"}</ns0:definedName>
    <ns0:definedName name="소화갑지" hidden="1">{#N/A,#N/A,FALSE,"CCTV"}</ns0:definedName>
    <ns0:definedName name="순성토" localSheetId="0">LED조명!순성토</ns0:definedName>
    <ns0:definedName name="순성토">[0]!순성토</ns0:definedName>
    <ns0:definedName name="시멘트운" localSheetId="0">LED조명!시멘트운</ns0:definedName>
    <ns0:definedName name="시멘트운">[0]!시멘트운</ns0:definedName>
    <ns0:definedName name="시멘트운반" localSheetId="0">LED조명!시멘트운반</ns0:definedName>
    <ns0:definedName name="시멘트운반">[0]!시멘트운반</ns0:definedName>
    <ns0:definedName name="ㅇㄹ" localSheetId="0" hidden="1">{#N/A,#N/A,FALSE,"CCTV"}</ns0:definedName>
    <ns0:definedName name="ㅇㄹ" hidden="1">{#N/A,#N/A,FALSE,"CCTV"}</ns0:definedName>
    <ns0:definedName name="ㅇㄹㅇ" localSheetId="0">LED조명!ㅇㄹㅇ</ns0:definedName>
    <ns0:definedName name="ㅇㄹㅇ">[0]!ㅇㄹㅇ</ns0:definedName>
    <ns0:definedName name="ㅇㄹㅇㄹ" hidden="1">#REF!</ns0:definedName>
    <ns0:definedName name="ㅇㅇ">'[23]Y-WORK'!$F$21:$M$417,'[23]Y-WORK'!$F$427:$M$450</ns0:definedName>
    <ns0:definedName name="ㅇㅇㄹ" localSheetId="0" hidden="1">#REF!</ns0:definedName>
    <ns0:definedName name="ㅇㅇㄹ" hidden="1">#REF!</ns0:definedName>
    <ns0:definedName name="ㅇㅇㅇ" hidden="1">#REF!</ns0:definedName>
    <ns0:definedName name="ㅇㅇㅇㅇ" hidden="1">#REF!</ns0:definedName>
    <ns0:definedName name="양" localSheetId="0">LED조명!양</ns0:definedName>
    <ns0:definedName name="양">[0]!양</ns0:definedName>
    <ns0:definedName name="업무협력비" localSheetId="0" hidden="1">[3]합천내역!#REF!</ns0:definedName>
    <ns0:definedName name="업무협력비" hidden="1">[3]합천내역!#REF!</ns0:definedName>
    <ns0:definedName name="완공3" hidden="1">#REF!</ns0:definedName>
    <ns0:definedName name="을지로" localSheetId="0">LED조명!을지로</ns0:definedName>
    <ns0:definedName name="을지로">[0]!을지로</ns0:definedName>
    <ns0:definedName name="인건비" localSheetId="0" hidden="1">#REF!</ns0:definedName>
    <ns0:definedName name="인건비" hidden="1">#REF!</ns0:definedName>
    <ns0:definedName name="일" hidden="1">#REF!</ns0:definedName>
    <ns0:definedName name="일위">#REF!,#REF!</ns0:definedName>
    <ns0:definedName name="자갈운반" localSheetId="0">LED조명!자갈운반</ns0:definedName>
    <ns0:definedName name="자갈운반">[0]!자갈운반</ns0:definedName>
    <ns0:definedName name="잔토" localSheetId="0">LED조명!잔토</ns0:definedName>
    <ns0:definedName name="잔토">[0]!잔토</ns0:definedName>
    <ns0:definedName name="잔토처리" localSheetId="0">LED조명!잔토처리</ns0:definedName>
    <ns0:definedName name="잔토처리">[0]!잔토처리</ns0:definedName>
    <ns0:definedName name="저압케이블공" localSheetId="0">LED조명!저압케이블공</ns0:definedName>
    <ns0:definedName name="저압케이블공">[0]!저압케이블공</ns0:definedName>
    <ns0:definedName name="전체제조총괄표" localSheetId="0" hidden="1">{"'건축내역'!$A$1:$L$413"}</ns0:definedName>
    <ns0:definedName name="전체제조총괄표" hidden="1">{"'건축내역'!$A$1:$L$413"}</ns0:definedName>
    <ns0:definedName name="절" localSheetId="0">LED조명!절</ns0:definedName>
    <ns0:definedName name="절">[0]!절</ns0:definedName>
    <ns0:definedName name="절토" localSheetId="0">LED조명!절토</ns0:definedName>
    <ns0:definedName name="절토">[0]!절토</ns0:definedName>
    <ns0:definedName name="정화조" localSheetId="0" hidden="1">{#N/A,#N/A,FALSE,"CCTV"}</ns0:definedName>
    <ns0:definedName name="정화조" hidden="1">{#N/A,#N/A,FALSE,"CCTV"}</ns0:definedName>
    <ns0:definedName name="제조원가율">"database+전체!$A$4:$W$825"</ns0:definedName>
    <ns0:definedName name="제품명">OFFSET([31]방송!$B$5,0,0,COUNTA([32]제품정보!$B:$B)-6,1)</ns0:definedName>
    <ns0:definedName name="조건_입력">'[37]'!조건_입력</ns0:definedName>
    <ns0:definedName name="조도등주종류" localSheetId="0">LED조명!조도등주종류</ns0:definedName>
    <ns0:definedName name="조도등주종류">[0]!조도등주종류</ns0:definedName>
    <ns0:definedName name="조도케이블길이" localSheetId="0">LED조명!조도케이블길이</ns0:definedName>
    <ns0:definedName name="조도케이블길이">[0]!조도케이블길이</ns0:definedName>
    <ns0:definedName name="조수" localSheetId="0">LED조명!조수</ns0:definedName>
    <ns0:definedName name="조수">[0]!조수</ns0:definedName>
    <ns0:definedName name="중기기사" localSheetId="0">LED조명!중기기사</ns0:definedName>
    <ns0:definedName name="중기기사">[0]!중기기사</ns0:definedName>
    <ns0:definedName name="ㅊ" localSheetId="0" hidden="1">{#N/A,#N/A,FALSE,"CCTV"}</ns0:definedName>
    <ns0:definedName name="ㅊ" hidden="1">{#N/A,#N/A,FALSE,"CCTV"}</ns0:definedName>
    <ns0:definedName name="참조" localSheetId="0">LED조명!참조</ns0:definedName>
    <ns0:definedName name="참조">[0]!참조</ns0:definedName>
    <ns0:definedName name="철" localSheetId="0">LED조명!철</ns0:definedName>
    <ns0:definedName name="철">[0]!철</ns0:definedName>
    <ns0:definedName name="철근운반" localSheetId="0">LED조명!철근운반</ns0:definedName>
    <ns0:definedName name="철근운반">[0]!철근운반</ns0:definedName>
    <ns0:definedName name="출" localSheetId="0" hidden="1">'[4]합천내역'!#REF!</ns0:definedName>
    <ns0:definedName name="출" hidden="1">'[4]합천내역'!#REF!</ns0:definedName>
    <ns0:definedName name="취소" localSheetId="0">LED조명!취소</ns0:definedName>
    <ns0:definedName name="취소">[0]!취소</ns0:definedName>
    <ns0:definedName name="크레인가격" localSheetId="0">LED조명!크레인가격</ns0:definedName>
    <ns0:definedName name="크레인가격">[0]!크레인가격</ns0:definedName>
    <ns0:definedName name="터" localSheetId="0">LED조명!터</ns0:definedName>
    <ns0:definedName name="터">[0]!터</ns0:definedName>
    <ns0:definedName name="터파기" localSheetId="0">LED조명!터파기</ns0:definedName>
    <ns0:definedName name="터파기">[0]!터파기</ns0:definedName>
    <ns0:definedName name="특급">'[38]sw1'!$I$4,'[38]sw1'!$I$22,'[38]sw1'!$I$40,'[38]sw1'!$I$58,'[38]sw1'!$I$76,'[38]sw1'!$I$94</ns0:definedName>
    <ns0:definedName name="특급기술자">#REF!,#REF!,#REF!,#REF!,#REF!,#REF!</ns0:definedName>
    <ns0:definedName name="특급자">#REF!,#REF!,#REF!,#REF!,#REF!,#REF!</ns0:definedName>
    <ns0:definedName name="평가">EVALUATE(#REF!)</ns0:definedName>
    <ns0:definedName name="표지">'[23]Y-WORK'!$F$21:$M$417,'[23]Y-WORK'!$F$427:$M$450</ns0:definedName>
    <ns0:definedName name="한국" localSheetId="0">LED조명!한국</ns0:definedName>
    <ns0:definedName name="한국">[0]!한국</ns0:definedName>
    <ns0:definedName name="흄" localSheetId="0">LED조명!흄</ns0:definedName>
    <ns0:definedName name="흄">[0]!흄</ns0:definedName>
    <ns0:definedName name="흄관운반" localSheetId="0">LED조명!흄관운반</ns0:definedName>
    <ns0:definedName name="흄관운반">[0]!흄관운반</ns0:definedName>
    <ns0:definedName name="ㅛㅛㅛㅛ" hidden="1">'[14]수량산출'!$A$1:$A$8561</ns0:definedName>
    <ns0:definedName name="ㅜ" localSheetId="0" hidden="1">'[7]수량산출'!#REF!</ns0:definedName>
    <ns0:definedName name="ㅜ" hidden="1">'[7]수량산출'!#REF!</ns0:definedName>
    <ns0:definedName name="ㅡㅡㅡㅡㅡ">#REF!,#REF!</ns0:definedName>
  </ns0:definedNames>
  <ns0:calcPr ns1:Ignorable="hs" ns4:hclCalcId="904"/>
</ns0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<x:sst xmlns:r="http://schemas.openxmlformats.org/officeDocument/2006/relationships" xmlns:c="http://schemas.openxmlformats.org/drawingml/2006/chart" xmlns:x="http://schemas.openxmlformats.org/spreadsheetml/2006/main" count="51" uniqueCount="49">
  <x:si>
    <x:t>1. 상기의 견적 내역은 현장 조건에 따라 변경될 수 있습니다.</x:t>
  </x:si>
  <x:si>
    <x:t xml:space="preserve"> 합계금액 : 일금 구천칠백이만원정 ( \97,020,000 )</x:t>
  </x:si>
  <x:si>
    <x:t>기업은행   4 0 8 - 0 6 4 5 6 3 - 0 1 - 0 1 6   ㈜시지아이</x:t>
  </x:si>
  <x:si>
    <x:t>We experess the Creation of God through Industry</x:t>
  </x:si>
  <x:si>
    <x: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 xml:space="preserve">전라남도 장성군 남면 나노산단로 102(삼태리)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   
 TEL : 062-576-8100  Fax : 062-576-8181
 TEL : 061-801-8100    </x:t>
    </x:r>
  </x:si>
  <x:si>
    <x:t>********************          이          하          여          백          ********************</x:t>
  </x:si>
  <x:si>
    <x:t>410 - 86 - 46283</x:t>
  </x:si>
  <x:si>
    <x:t>3. 견적유효기간은 1주일 입니다.</x:t>
  </x:si>
  <x:si>
    <x:t>CGI-2-20220621-07</x:t>
  </x:si>
  <x:si>
    <x:t>식</x:t>
  </x:si>
  <x:si>
    <x:t>단위</x:t>
  </x:si>
  <x:si>
    <x:t>소  계</x:t>
  </x:si>
  <x:si>
    <x:t>2. 세부 결제조건: 현금</x:t>
  </x:si>
  <x:si>
    <x:t>품            명</x:t>
  </x:si>
  <x:si>
    <x:t>규            격</x:t>
  </x:si>
  <x:si>
    <x:t>062-576-8100</x:t>
  </x:si>
  <x:si>
    <x:t>목포대학교체육관및약대 리모델링 통신공사</x:t>
  </x:si>
  <x:si>
    <x:t xml:space="preserve">    김   범   신  인      </x:t>
  </x:si>
  <x:si>
    <x:t>견   적   서</x:t>
  </x:si>
  <x:si>
    <x:t>(주) 시지아이</x:t>
  </x:si>
  <x:si>
    <x:t>합계금액 : 일금</x:t>
  </x:si>
  <x:si>
    <x:t>금      액</x:t>
  </x:si>
  <x:si>
    <x:t xml:space="preserve">결  제  계  좌 </x:t>
  </x:si>
  <x:si>
    <x:t>등록번호</x:t>
  </x:si>
  <x:si>
    <x:t>작성일자</x:t>
  </x:si>
  <x:si>
    <x:t>상    호</x:t>
  </x:si>
  <x:si>
    <x:t>제 출 처</x:t>
  </x:si>
  <x:si>
    <x:t>작 성 자</x:t>
  </x:si>
  <x:si>
    <x:t>단  가</x:t>
  </x:si>
  <x:si>
    <x:t>⊙ 특기사항</x:t>
  </x:si>
  <x:si>
    <x:t>견적번호</x:t>
  </x:si>
  <x:si>
    <x:t>주    소</x:t>
  </x:si>
  <x:si>
    <x:t>1번 교회</x:t>
  </x:si>
  <x:si>
    <x:t>합  계</x:t>
  </x:si>
  <x:si>
    <x:t>통신공사</x:t>
  </x:si>
  <x:si>
    <x:t>3번 일반기업</x:t>
  </x:si>
  <x:si>
    <x:t>2번 관공서</x:t>
  </x:si>
  <x:si>
    <x:t>담 당 자</x:t>
  </x:si>
  <x:si>
    <x:t>대    표</x:t>
  </x:si>
  <x:si>
    <x:t>김 범 신</x:t>
  </x:si>
  <x:si>
    <x:t>목포대학교</x:t>
  </x:si>
  <x:si>
    <x:t>사용인감 7</x:t>
  </x:si>
  <x:si>
    <x:t>건    명</x:t>
  </x:si>
  <x:si>
    <x:t>귀하</x:t>
  </x:si>
  <x:si>
    <x:t>수량</x:t>
  </x:si>
  <x:si>
    <x:t>TEL</x:t>
  </x:si>
  <x:si>
    <x:t>비 고</x:t>
  </x:si>
  <x:si>
    <x:t>부가세</x:t>
  </x:si>
  <x:si>
    <x:t>NO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</x:si>
</x:sst>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96">
    <x:numFmt numFmtId="164" formatCode="_-&quot;₩&quot;* #,##0_-;&quot;₩&quot;\!\-&quot;₩&quot;* #,##0_-;_-&quot;₩&quot;* &quot;-&quot;_-;_-@_-"/>
    <x:numFmt numFmtId="165" formatCode="_-* #,##0_-;&quot;₩&quot;\!\-* #,##0_-;_-* &quot;-&quot;_-;_-@_-"/>
    <x:numFmt numFmtId="166" formatCode="_-&quot;₩&quot;* #,##0.00_-;&quot;₩&quot;\!\-&quot;₩&quot;* #,##0.00_-;_-&quot;₩&quot;* &quot;-&quot;??_-;_-@_-"/>
    <x:numFmt numFmtId="167" formatCode="_-* #,##0.00_-;&quot;₩&quot;\!\-* #,##0.00_-;_-* &quot;-&quot;??_-;_-@_-"/>
    <x:numFmt numFmtId="168" formatCode="#,##0;[Red]&quot;-&quot;#,##0"/>
    <x:numFmt numFmtId="169" formatCode="0.000"/>
    <x:numFmt numFmtId="170" formatCode="#,##0.00_ "/>
    <x:numFmt numFmtId="171" formatCode="0.00_);[Red]\(0.00\)"/>
    <x:numFmt numFmtId="172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x:numFmt numFmtId="173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x:numFmt numFmtId="174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x:numFmt numFmtId="175" formatCode="_(* #,##0_);_(* \(#,##0\);_(* &quot;-&quot;_);_(@_)"/>
    <x:numFmt numFmtId="176" formatCode="#,##0;[Red]#,##0"/>
    <x:numFmt numFmtId="177" formatCode="0.0000"/>
    <x:numFmt numFmtId="178" formatCode="#,##0_ "/>
    <x:numFmt numFmtId="179" formatCode="_ * #,##0_ ;_ * \-#,##0_ ;_ * &quot;-&quot;_ ;_ @_ "/>
    <x:numFmt numFmtId="180" formatCode="&quot;₩&quot;#,##0;&quot;₩&quot;&quot;₩&quot;&quot;₩&quot;&quot;₩&quot;&quot;₩&quot;\-#,##0"/>
    <x:numFmt numFmtId="181" formatCode="&quot;$&quot;#,##0.00_);\(&quot;$&quot;#,##0.00\)"/>
    <x:numFmt numFmtId="182" formatCode="#,##0.0;[Red]#,##0.0;&quot; &quot;"/>
    <x:numFmt numFmtId="183" formatCode="0.0000%"/>
    <x:numFmt numFmtId="184" formatCode="0.0%;[Red]\(0.0%\)"/>
    <x:numFmt numFmtId="185" formatCode="#,##0.00;[Red]#,##0.00;&quot; &quot;"/>
    <x:numFmt numFmtId="186" formatCode="_-* #,##0.0_-;\-* #,##0.0_-;_-* &quot;-&quot;??_-;_-@_-"/>
    <x:numFmt numFmtId="187" formatCode="_-* #,##0;\-* #,##0;_-* &quot;-&quot;;_-@"/>
    <x:numFmt numFmtId="188" formatCode="_-&quot;₩&quot;* #,##0.00_-;&quot;₩&quot;&quot;₩&quot;&quot;₩&quot;&quot;₩&quot;\-&quot;₩&quot;* #,##0.00_-;_-&quot;₩&quot;* &quot;-&quot;??_-;_-@_-"/>
    <x:numFmt numFmtId="189" formatCode="_-* #,##0_-;\-* #,##0_-;_-* &quot;-&quot;??_-;_-@_-"/>
    <x:numFmt numFmtId="190" formatCode="#,##0;[Red]\(#,##0\)"/>
    <x:numFmt numFmtId="191" formatCode="_-&quot;S&quot;\ * #,##0.00_-;\-&quot;S&quot;\ * #,##0.00_-;_-&quot;S&quot;\ * &quot;-&quot;??_-;_-@_-"/>
    <x:numFmt numFmtId="192" formatCode="#,##0.0;[Red]\(#,##0.0\)"/>
    <x:numFmt numFmtId="193" formatCode="_ * #,##0.00_ ;_ * \-#,##0.00_ ;_ * &quot;-&quot;??_ ;_ @_ "/>
    <x:numFmt numFmtId="194" formatCode="_ &quot;₩&quot;* #,##0_ ;_ &quot;₩&quot;* \-#,##0_ ;_ &quot;₩&quot;* &quot;-&quot;_ ;_ @_ "/>
    <x:numFmt numFmtId="195" formatCode="_ &quot;₩&quot;* #,##0.00_ ;_ &quot;₩&quot;* \-#,##0.00_ ;_ &quot;₩&quot;* &quot;-&quot;??_ ;_ @_ "/>
    <x:numFmt numFmtId="196" formatCode="_-* #,##0.00_-;&quot;₩&quot;&quot;₩&quot;&quot;₩&quot;\-* #,##0.00_-;_-* &quot;-&quot;??_-;_-@_-"/>
    <x:numFmt numFmtId="197" formatCode="&quot;₩&quot;#,##0;[Red]&quot;₩&quot;&quot;₩&quot;&quot;₩&quot;&quot;₩&quot;&quot;₩&quot;\-#,##0"/>
    <x:numFmt numFmtId="198" formatCode="#,##0.00000000;[Red]&quot;-&quot;#,##0.00000000"/>
    <x:numFmt numFmtId="199" formatCode="#,##0,&quot;₩&quot;\!\+000,"/>
    <x:numFmt numFmtId="200" formatCode="\$#.00"/>
    <x:numFmt numFmtId="201" formatCode="&quot;$&quot;#,##0.00;[Red]\-&quot;$&quot;#,##0.00"/>
    <x:numFmt numFmtId="202" formatCode="_(&quot;$&quot;* #,##0_);_(&quot;$&quot;* \(#,##0\);_(&quot;$&quot;* &quot;-&quot;_);_(@_)"/>
    <x:numFmt numFmtId="203" formatCode="&quot;$&quot;#,##0_);[Red]\(&quot;$&quot;#,##0\)"/>
    <x:numFmt numFmtId="204" formatCode="&quot;$&quot;#,##0.00_);[Red]\(&quot;$&quot;#,##0.00\)"/>
    <x:numFmt numFmtId="205" formatCode="\$#,##0\ ;\(\$#,##0\)"/>
    <x:numFmt numFmtId="206" formatCode="dd/mm/yy\ \ \ \ hh:mm"/>
    <x:numFmt numFmtId="207" formatCode="#,##0.0_);\(#,##0.0\)"/>
    <x:numFmt numFmtId="208" formatCode="#,##0.000_);\(#,##0.000\)"/>
    <x:numFmt numFmtId="209" formatCode="#,##0\ &quot;DM&quot;;\-#,##0\ &quot;DM&quot;"/>
    <x:numFmt numFmtId="210" formatCode="#,##0.0?&quot;&quot;;\-#,##0.0?&quot;&quot;"/>
    <x:numFmt numFmtId="211" formatCode="_-* #,##0\ _D_M_-;\-* #,##0\ _D_M_-;_-* &quot;-&quot;\ _D_M_-;_-@_-"/>
    <x:numFmt numFmtId="212" formatCode="#,##0.0&quot;&quot;"/>
    <x:numFmt numFmtId="213" formatCode="_-* #,##0.00\ _D_M_-;\-* #,##0.00\ _D_M_-;_-* &quot;-&quot;??\ _D_M_-;_-@_-"/>
    <x:numFmt numFmtId="214" formatCode="_-&quot;₩&quot;* #,##0.00_-;&quot;₩&quot;&quot;₩&quot;&quot;₩&quot;\-&quot;₩&quot;* #,##0.00_-;_-&quot;₩&quot;* &quot;-&quot;??_-;_-@_-"/>
    <x:numFmt numFmtId="215" formatCode="&quot;₩&quot;#,##0.00;&quot;₩&quot;&quot;₩&quot;&quot;₩&quot;&quot;₩&quot;&quot;₩&quot;\-#,##0.00"/>
    <x:numFmt numFmtId="216" formatCode="#.00"/>
    <x:numFmt numFmtId="217" formatCode="#."/>
    <x:numFmt numFmtId="218" formatCode="0.0%"/>
    <x:numFmt numFmtId="219" formatCode="%#.00"/>
    <x:numFmt numFmtId="220" formatCode="00\-000_)"/>
    <x:numFmt numFmtId="221" formatCode="_(&quot;$&quot;* #,##0.0_);_(&quot;$&quot;* \(#,##0.0\);_(&quot;$&quot;* &quot;-&quot;??_);_(@_)"/>
    <x:numFmt numFmtId="222" formatCode="0\ &quot;% &quot;;[Red]\-\ 0\ &quot;%&quot;\ "/>
    <x:numFmt numFmtId="223" formatCode="#,##0&quot;&quot;;[Red]\-#,##0&quot;&quot;"/>
    <x:numFmt numFmtId="224" formatCode="#,##0.00\ &quot;DM&quot;;\-#,##0.00\ &quot;DM&quot;"/>
    <x:numFmt numFmtId="225" formatCode="#,###&quot; RS&quot;;\-#,###&quot; RS&quot;"/>
    <x:numFmt numFmtId="226" formatCode="#&quot; &quot;##&quot; &quot;##&quot; &quot;##0\ \I\N\R;[Red]\-#&quot; &quot;#,#&quot; &quot;##,&quot; &quot;###,##0,\ \I\N\R"/>
    <x:numFmt numFmtId="227" formatCode="_-* #,##0.00\ &quot;DM&quot;_-;\-* #,##0.00\ &quot;DM&quot;_-;_-* &quot;-&quot;??\ &quot;DM&quot;_-;_-@_-"/>
    <x:numFmt numFmtId="228" formatCode="hh:mm&quot;  &quot;"/>
    <x:numFmt numFmtId="229" formatCode="#,##0.000"/>
    <x:numFmt numFmtId="230" formatCode="_ * #\!\,##0_ ;_ * &quot;₩&quot;\!\-#\!\,##0_ ;_ * &quot;-&quot;_ ;_ @_ "/>
    <x:numFmt numFmtId="231" formatCode="#,##0\ &quot;DM&quot;;[Red]\-#,##0\ &quot;DM&quot;"/>
    <x:numFmt numFmtId="232" formatCode="#,##0.00\ &quot;DM&quot;;[Red]\-#,##0.00\ &quot;DM&quot;"/>
    <x:numFmt numFmtId="233" formatCode="#,##0.0"/>
    <x:numFmt numFmtId="234" formatCode="_-* #,##0.0_-;&quot;₩&quot;\!\-* #,##0.0_-;_-* &quot;-&quot;_-;_-@_-"/>
    <x:numFmt numFmtId="235" formatCode="#,##0_);[Red]&quot;₩&quot;\!\-#,##0"/>
    <x:numFmt numFmtId="236" formatCode="_-* #,##0.000_-;\-* #,##0.000_-;_-* &quot;-&quot;_-;_-@_-"/>
    <x:numFmt numFmtId="237" formatCode="[&lt;=9999999]###\-####;\(0###\)\ ###\-####"/>
    <x:numFmt numFmtId="238" formatCode="&quot;,&quot;###0"/>
    <x:numFmt numFmtId="239" formatCode="[&lt;=999999]##\-####;\(0###\)\ ##\-####"/>
    <x:numFmt numFmtId="240" formatCode="[&lt;=999999]&quot;,&quot;##\-####;\(0###\)\ ##\-####"/>
    <x:numFmt numFmtId="241" formatCode="&quot;~&quot;#0"/>
    <x:numFmt numFmtId="242" formatCode="[&lt;=9999999]&quot;,&quot;###\-####;\(0###\)\ ###\-####"/>
    <x:numFmt numFmtId="243" formatCode="[&lt;=99999999]####\-####;\(0###\)\ ####\-####"/>
    <x:numFmt numFmtId="244" formatCode="&quot;₩&quot;&quot;₩&quot;\!\!\$#,##0_);[Red]&quot;₩&quot;&quot;₩&quot;\!\!\(&quot;₩&quot;&quot;₩&quot;\!\!\$#,##0&quot;₩&quot;&quot;₩&quot;\!\!\)"/>
    <x:numFmt numFmtId="245" formatCode="yy&quot;년&quot;m&quot;월&quot;d&quot;일&quot;"/>
    <x:numFmt numFmtId="246" formatCode="[Red]#,##0"/>
    <x:numFmt numFmtId="247" formatCode="_ * #,##0.00_ ;_ * &quot;₩&quot;&quot;₩&quot;&quot;₩&quot;&quot;₩&quot;&quot;₩&quot;&quot;₩&quot;&quot;₩&quot;\-#,##0.00_ ;_ * &quot;-&quot;??_ ;_ @_ "/>
    <x:numFmt numFmtId="248" formatCode="&quot;₩&quot;#,##0;[Red]&quot;₩&quot;&quot;₩&quot;&quot;₩&quot;&quot;₩&quot;&quot;₩&quot;&quot;₩&quot;&quot;₩&quot;&quot;₩&quot;\-#,##0"/>
    <x:numFmt numFmtId="249" formatCode="#,##0.0000;\-#,##0.0000"/>
    <x:numFmt numFmtId="250" formatCode="&quot;RM&quot;#,##0.00_);\(&quot;RM&quot;#,##0.00\)"/>
    <x:numFmt numFmtId="251" formatCode="_(* #,##0.0000_);_(* \(#,##0.0000\);_(* &quot;-&quot;??_);_(@_)"/>
    <x:numFmt numFmtId="252" formatCode="#,##0.00;&quot;-&quot;#,##0.00"/>
    <x:numFmt numFmtId="253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x:numFmt numFmtId="254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x:numFmt numFmtId="25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x:numFmt numFmtId="256" formatCode="_-* #,##0\ &quot;F&quot;_-;\-* #,##0\ &quot;F&quot;_-;_-* &quot;-&quot;\ &quot;F&quot;_-;_-@_-"/>
    <x:numFmt numFmtId="257" formatCode="0;[Red]0"/>
    <x:numFmt numFmtId="258" formatCode="&quot;₩&quot;#,##0;&quot;₩&quot;\-#,##0"/>
    <x:numFmt numFmtId="259" formatCode="mm&quot;월&quot;\ dd&quot;일&quot;"/>
  </x:numFmts>
  <x:fonts count="141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S Sans Serif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S Sans Serif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S Sans Serif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MS Sans Serif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2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굴림체"/>
          <x:sz val="12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S Sans Serif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S Sans Serif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Helv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Helv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Book Antiqua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Book Antiqua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S Sans Serif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MS Sans Serif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Univers (W1)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Univers (W1)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eneva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eneva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ourier"/>
          <x:sz val="1"/>
          <x:color rgb="ff000000"/>
          <hs:size val="100"/>
          <hs:ratio val="100"/>
          <hs:spacing val="0"/>
          <hs:offset val="0"/>
        </x:font>
      </mc:Choice>
      <mc:Fallback>
        <x:font>
          <x:name val="Courier"/>
          <x:sz val="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¹UAAA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¹UAAA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ourier"/>
          <x:sz val="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ourier"/>
          <x:sz val="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±¼¸²A¼"/>
          <x:sz val="12"/>
          <x:color rgb="ff800000"/>
          <x:b val="1"/>
          <hs:size val="100"/>
          <hs:ratio val="100"/>
          <hs:spacing val="0"/>
          <hs:offset val="0"/>
        </x:font>
      </mc:Choice>
      <mc:Fallback>
        <x:font>
          <x:name val="±¼¸²A¼"/>
          <x:sz val="12"/>
          <x:color rgb="ff8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견명조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견명조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ourier New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ourier New"/>
          <x:sz val="10"/>
          <x:color rgb="ff000000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ⓒoUAAA¨u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ⓒoUAAA¨u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Helv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μ¸¿o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μ¸¿o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¹ÙÅÁÃ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¹ÙÅÁÃ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µ¸¿òÃ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µ¸¿òÃ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μ¸¿oA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μ¸¿oA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System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System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명조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명조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elv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9999ff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9999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S Serif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S Serif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G Times (E1)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CG Times (E1)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S Serif"/>
          <x:sz val="10"/>
          <x:color rgb="ff800000"/>
          <hs:size val="100"/>
          <hs:ratio val="100"/>
          <hs:spacing val="0"/>
          <hs:offset val="0"/>
        </x:font>
      </mc:Choice>
      <mc:Fallback>
        <x:font>
          <x:name val="MS Serif"/>
          <x:sz val="10"/>
          <x:color rgb="ff8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9999ff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9999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elv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8"/>
          <x:color rgb="ff9999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8"/>
          <x:color rgb="ff9999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9999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9999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Univers (WN)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Univers (WN)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8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Times New Roman"/>
          <x:sz val="8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8"/>
          <x:color rgb="ff0000ff"/>
          <hs:size val="100"/>
          <hs:ratio val="100"/>
          <hs:spacing val="0"/>
          <hs:offset val="0"/>
        </x:font>
      </mc:Choice>
      <mc:Fallback>
        <x:font>
          <x:name val="Times New Roman"/>
          <x:sz val="8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elv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Small Fonts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Small Fonts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etica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elvetica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Helv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imes New Roman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elv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Univers (WN)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Univers (WN)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S Sans Serif"/>
          <x:sz val="18"/>
          <x:color rgb="ff0000ff"/>
          <hs:size val="100"/>
          <hs:ratio val="100"/>
          <hs:spacing val="0"/>
          <hs:offset val="0"/>
        </x:font>
      </mc:Choice>
      <mc:Fallback>
        <x:font>
          <x:name val="MS Sans Serif"/>
          <x:sz val="18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3"/>
          <x:color rgb="ff000000"/>
          <x:b val="1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3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바탕체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elvetica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elvetica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Univers (E1)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Univers (E1)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ff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명조"/>
          <x:sz val="10"/>
          <x:color rgb="ff0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명조"/>
          <x:sz val="10"/>
          <x:color rgb="ff0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800080"/>
          <x:u/>
          <hs:underlineShape val="solid"/>
          <hs:underlineType val="1"/>
          <hs:underlineColor rgb="ff80008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80008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.5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.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바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바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0"/>
          <x:color rgb="ff800080"/>
          <x:u/>
          <hs:underlineShape val="solid"/>
          <hs:underlineType val="1"/>
          <hs:underlineColor rgb="ff800080"/>
          <hs:size val="100"/>
          <hs:ratio val="100"/>
          <hs:spacing val="0"/>
          <hs:offset val="0"/>
        </x:font>
      </mc:Choice>
      <mc:Fallback>
        <x:font>
          <x:name val="바탕체"/>
          <x:sz val="10"/>
          <x:color rgb="ff80008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뼻뮝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뼻뮝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돋움체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바탕체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바탕체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바탕체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바탕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2"/>
          <x:color rgb="ff8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2"/>
          <x:color rgb="ff8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명조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명조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800080"/>
          <x:u/>
          <hs:underlineShape val="solid"/>
          <hs:underlineType val="1"/>
          <hs:underlineColor rgb="ff80008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80008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(English)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궁서(English)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f49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f497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체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.25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돋움"/>
          <x:sz val="8.25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2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9"/>
          <x:color rgb="ff7030a0"/>
          <hs:size val="100"/>
          <hs:ratio val="100"/>
          <hs:spacing val="0"/>
          <hs:offset val="0"/>
        </x:font>
      </mc:Choice>
      <mc:Fallback>
        <x:font>
          <x:name val="굴림체"/>
          <x:sz val="9"/>
          <x:color rgb="ff7030a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7030a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7030a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icrosoft Sans Serif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icrosoft Sans Serif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icrosoft Sans Serif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Microsoft Sans Serif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굴림체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8"/>
          <x:color rgb="ff000000"/>
          <x:b val="1"/>
          <x:u val="double"/>
          <hs:underlineShape val="doubleslim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28"/>
          <x:color rgb="ff000000"/>
          <x:b val="1"/>
          <x:u val="doubl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체"/>
          <x:sz val="2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u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d9d9d9"/>
        <x:bgColor indexed="64"/>
      </x:patternFill>
    </x:fill>
  </x:fills>
  <x:borders count="38">
    <x:border>
      <x:left>
        <x:color rgb="ff000000"/>
      </x:left>
      <x:right>
        <x:color rgb="ff000000"/>
      </x:right>
      <x:top>
        <x:color rgb="ff000000"/>
      </x:top>
      <x:bottom>
        <x:color rgb="ff000000"/>
      </x:bottom>
    </x:border>
    <x:border>
      <x:left style="thin">
        <x:color indexed="64"/>
      </x:left>
      <x:right>
        <x:color rgb="ff000000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>
        <x:color rgb="ff000000"/>
      </x:right>
      <x:top>
        <x:color rgb="ff000000"/>
      </x:top>
      <x:bottom>
        <x:color rgb="ff000000"/>
      </x:bottom>
    </x:border>
    <x:border>
      <x:left>
        <x:color rgb="ff000000"/>
      </x:left>
      <x:right>
        <x:color rgb="ff000000"/>
      </x:right>
      <x:top style="thin">
        <x:color indexed="64"/>
      </x:top>
      <x:bottom style="hair">
        <x:color indexed="64"/>
      </x:bottom>
    </x:border>
    <x:border>
      <x:left>
        <x:color rgb="ff000000"/>
      </x:left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>
        <x:color rgb="ff000000"/>
      </x:right>
      <x:top>
        <x:color rgb="ff000000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>
        <x:color rgb="ff000000"/>
      </x:left>
      <x:right>
        <x:color rgb="ff000000"/>
      </x:right>
      <x:top>
        <x:color rgb="ff000000"/>
      </x:top>
      <x:bottom style="hair">
        <x:color indexed="64"/>
      </x:bottom>
    </x:border>
    <x:border>
      <x:left style="hair">
        <x:color indexed="64"/>
      </x:left>
      <x:right>
        <x:color rgb="ff000000"/>
      </x:right>
      <x:top>
        <x:color rgb="ff000000"/>
      </x:top>
      <x:bottom style="hair">
        <x:color indexed="64"/>
      </x:bottom>
    </x:border>
    <x:border>
      <x:left style="thin">
        <x:color indexed="64"/>
      </x:left>
      <x:right>
        <x:color rgb="ff000000"/>
      </x:right>
      <x:top>
        <x:color rgb="ff000000"/>
      </x:top>
      <x:bottom style="thin">
        <x:color indexed="64"/>
      </x:bottom>
    </x:border>
    <x:border>
      <x:left>
        <x:color rgb="ff000000"/>
      </x:left>
      <x:right>
        <x:color rgb="ff000000"/>
      </x:right>
      <x:top>
        <x:color rgb="ff000000"/>
      </x:top>
      <x:bottom style="thin">
        <x:color indexed="64"/>
      </x:bottom>
    </x:border>
    <x:border>
      <x:left>
        <x:color rgb="ff000000"/>
      </x:left>
      <x:right style="thin">
        <x:color indexed="64"/>
      </x:right>
      <x:top>
        <x:color rgb="ff000000"/>
      </x:top>
      <x:bottom style="thin">
        <x:color indexed="64"/>
      </x:bottom>
    </x:border>
    <x:border>
      <x:left style="hair">
        <x:color indexed="64"/>
      </x:left>
      <x:right>
        <x:color rgb="ff000000"/>
      </x:right>
      <x:top>
        <x:color rgb="ff000000"/>
      </x:top>
      <x:bottom style="thin">
        <x:color indexed="64"/>
      </x:bottom>
    </x:border>
    <x:border>
      <x:left style="hair">
        <x:color indexed="64"/>
      </x:left>
      <x:right>
        <x:color rgb="ff000000"/>
      </x:right>
      <x:top style="thin">
        <x:color indexed="64"/>
      </x:top>
      <x:bottom style="thin">
        <x:color indexed="64"/>
      </x:bottom>
    </x:border>
    <x:border>
      <x:left>
        <x:color rgb="ff000000"/>
      </x:left>
      <x:right>
        <x:color rgb="ff000000"/>
      </x:right>
      <x:top style="thin">
        <x:color indexed="64"/>
      </x:top>
      <x:bottom style="thin">
        <x:color indexed="64"/>
      </x:bottom>
    </x:border>
    <x:border>
      <x:left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>
        <x:color rgb="ff000000"/>
      </x:right>
      <x:top style="thin">
        <x:color indexed="64"/>
      </x:top>
      <x:bottom style="thin">
        <x:color indexed="64"/>
      </x:bottom>
    </x:border>
    <x:border>
      <x:left style="hair">
        <x:color indexed="64"/>
      </x:left>
      <x:right>
        <x:color rgb="ff000000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>
        <x:color rgb="ff000000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rgb="ff000000"/>
      </x:left>
      <x:right>
        <x:color rgb="ff000000"/>
      </x:right>
      <x:top style="thin">
        <x:color indexed="64"/>
      </x:top>
      <x:bottom>
        <x:color rgb="ff000000"/>
      </x:bottom>
    </x:border>
    <x:border>
      <x:left style="thin">
        <x:color indexed="64"/>
      </x:left>
      <x:right>
        <x:color rgb="ff000000"/>
      </x:right>
      <x:top style="hair">
        <x:color indexed="64"/>
      </x:top>
      <x:bottom style="hair">
        <x:color indexed="64"/>
      </x:bottom>
    </x:border>
    <x:border>
      <x:left>
        <x:color indexed="64"/>
      </x:left>
      <x:right>
        <x:color indexed="64"/>
      </x:right>
      <x:top style="hair">
        <x:color indexed="64"/>
      </x:top>
      <x:bottom style="hair">
        <x:color indexed="64"/>
      </x:bottom>
    </x:border>
    <x:border>
      <x:left>
        <x:color rgb="ff000000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>
        <x:color rgb="ff000000"/>
      </x:right>
      <x:top style="hair">
        <x:color indexed="64"/>
      </x:top>
      <x:bottom style="thin">
        <x:color indexed="64"/>
      </x:bottom>
    </x:border>
    <x:border>
      <x:left>
        <x:color rgb="ff000000"/>
      </x:left>
      <x:right>
        <x:color rgb="ff000000"/>
      </x:right>
      <x:top style="hair">
        <x:color indexed="64"/>
      </x:top>
      <x:bottom style="thin">
        <x:color indexed="64"/>
      </x:bottom>
    </x:border>
    <x:border>
      <x:left>
        <x:color rgb="ff000000"/>
      </x:left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hair">
        <x:color indexed="64"/>
      </x:left>
      <x:right>
        <x:color rgb="ff000000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hair">
        <x:color indexed="64"/>
      </x:right>
      <x:top style="hair">
        <x:color indexed="64"/>
      </x:top>
      <x:bottom>
        <x:color rgb="ff000000"/>
      </x:bottom>
    </x:border>
    <x:border>
      <x:left style="thin">
        <x:color indexed="64"/>
      </x:left>
      <x:right style="hair">
        <x:color indexed="64"/>
      </x:right>
      <x:top>
        <x:color rgb="ff000000"/>
      </x:top>
      <x:bottom style="hair">
        <x:color indexed="64"/>
      </x:bottom>
    </x:border>
    <x:border>
      <x:left style="hair">
        <x:color indexed="64"/>
      </x:left>
      <x:right>
        <x:color rgb="ff000000"/>
      </x:right>
      <x:top style="hair">
        <x:color indexed="64"/>
      </x:top>
      <x:bottom>
        <x:color rgb="ff000000"/>
      </x:bottom>
    </x:border>
    <x:border>
      <x:left>
        <x:color rgb="ff000000"/>
      </x:left>
      <x:right>
        <x:color rgb="ff000000"/>
      </x:right>
      <x:top style="hair">
        <x:color indexed="64"/>
      </x:top>
      <x:bottom>
        <x:color rgb="ff000000"/>
      </x:bottom>
    </x:border>
    <x:border>
      <x:left>
        <x:color rgb="ff000000"/>
      </x:left>
      <x:right style="thin">
        <x:color indexed="64"/>
      </x:right>
      <x:top style="hair">
        <x:color indexed="64"/>
      </x:top>
      <x:bottom>
        <x:color rgb="ff000000"/>
      </x:bottom>
    </x:border>
    <x:border>
      <x:left>
        <x:color rgb="ff000000"/>
      </x:left>
      <x:right style="thin">
        <x:color indexed="64"/>
      </x:right>
      <x:top>
        <x:color rgb="ff000000"/>
      </x:top>
      <x:bottom style="hair">
        <x:color indexed="64"/>
      </x:bottom>
    </x:border>
  </x:borders>
  <x:cellStyleXfs count="10">
    <x:xf numFmtId="0" fontId="0" fillId="0" borderId="0">
      <x:alignment horizontal="general" vertical="bottom"/>
    </x:xf>
    <x:xf numFmtId="165" fontId="0" fillId="0" borderId="0" applyFont="1" applyFill="1" applyBorder="1" applyAlignment="1" applyProtection="1">
      <x:alignment horizontal="general" vertical="bottom"/>
    </x:xf>
    <x:xf numFmtId="165" fontId="0" fillId="0" borderId="0" applyFont="1" applyFill="1" applyBorder="1" applyAlignment="1" applyProtection="1">
      <x:alignment horizontal="general" vertical="bottom"/>
    </x:xf>
    <x:xf numFmtId="41" fontId="0" fillId="0" borderId="0" applyFont="1" applyFill="1" applyBorder="1" applyAlignment="1" applyProtection="1">
      <x:alignment horizontal="general" vertical="bottom"/>
    </x:xf>
    <x:xf numFmtId="0" fontId="107" fillId="0" borderId="0" applyNumberFormat="1" applyFill="1" applyBorder="1" applyAlignment="1" applyProtection="1">
      <x:alignment horizontal="general" vertical="top"/>
      <x:protection locked="0"/>
    </x:xf>
    <x:xf numFmtId="0" fontId="0" fillId="0" borderId="0">
      <x:alignment horizontal="general" vertical="bottom"/>
    </x:xf>
    <x:xf numFmtId="0" fontId="16" fillId="0" borderId="0">
      <x:alignment horizontal="general" vertical="bottom"/>
    </x:xf>
    <x:xf numFmtId="0" fontId="0" fillId="0" borderId="0">
      <x:alignment horizontal="general" vertical="bottom"/>
    </x:xf>
    <x:xf numFmtId="0" fontId="0" fillId="0" borderId="0">
      <x:alignment horizontal="general" vertical="bottom"/>
    </x:xf>
    <x:xf numFmtId="0" fontId="119" fillId="0" borderId="0" applyNumberFormat="1" applyFill="1" applyBorder="1" applyAlignment="1" applyProtection="1">
      <x:alignment horizontal="general" vertical="top"/>
      <x:protection locked="0"/>
    </x:xf>
  </x:cellStyleXfs>
  <x:cellXfs count="165"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7" fillId="0" borderId="0" xfId="5" applyNumberFormat="1" applyFont="1" applyBorder="1" applyAlignment="1" hs:applyExtension="1">
          <x:alignment horizontal="centerContinuous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5" applyNumberFormat="1" applyFont="1" applyBorder="1" applyAlignment="1">
          <x:alignment horizontal="centerContinuous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7" fillId="0" borderId="0" xfId="5" applyNumberFormat="1" applyFont="1" applyBorder="1" applyAlignment="1" hs:applyExtension="1">
          <x:alignment horizontal="centerContinuous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7" fillId="0" borderId="0" xfId="5" applyNumberFormat="1" applyFont="1" applyBorder="1" applyAlignment="1">
          <x:alignment horizontal="centerContinuous" vertical="bottom"/>
        </x:xf>
      </mc:Fallback>
    </mc:AlternateContent>
    <x:xf numFmtId="0" fontId="17" fillId="0" borderId="0" xfId="5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5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5" applyNumberFormat="1" applyFont="1" applyAlignment="1">
          <x:alignment horizontal="center" vertical="center"/>
        </x:xf>
      </mc:Fallback>
    </mc:AlternateContent>
    <x:xf numFmtId="0" fontId="17" fillId="0" borderId="0" xfId="5" applyNumberFormat="1" applyFont="1" applyBorder="1" applyAlignment="1">
      <x:alignment horizontal="general" vertical="center"/>
    </x:xf>
    <x:xf numFmtId="0" fontId="17" fillId="0" borderId="0" xfId="5" applyNumberFormat="1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32" fillId="0" borderId="0" xfId="5" applyNumberFormat="1" applyFont="1" applyAlignment="1" hs:applyExtension="1">
          <x:alignment horizontal="centerContinuous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0" xfId="5" applyNumberFormat="1" applyFont="1" applyAlignment="1">
          <x:alignment horizontal="centerContinuous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7" fillId="0" borderId="0" xfId="5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7" fillId="0" borderId="0" xfId="5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5" quotePrefix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5" quotePrefix="1" applyNumberFormat="1" applyFont="1" applyAlignment="1">
          <x:alignment horizontal="center" vertical="center"/>
        </x:xf>
      </mc:Fallback>
    </mc:AlternateContent>
    <x:xf numFmtId="0" fontId="122" fillId="0" borderId="0" xfId="5" applyNumberFormat="1" applyFont="1" applyBorder="1" applyAlignment="1">
      <x:alignment horizontal="left" vertical="bottom"/>
    </x:xf>
    <x:xf numFmtId="3" fontId="17" fillId="0" borderId="0" xfId="5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3" fontId="123" fillId="0" borderId="0" xfId="5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23" fillId="0" borderId="0" xfId="5" applyNumberFormat="1" applyFont="1" applyBorder="1" applyAlignment="1">
          <x:alignment horizontal="right" vertical="bottom"/>
        </x:xf>
      </mc:Fallback>
    </mc:AlternateContent>
    <x:xf numFmtId="3" fontId="123" fillId="0" borderId="0" xfId="5" applyNumberFormat="1" applyFont="1" applyBorder="1" applyAlignment="1">
      <x:alignment horizontal="general" vertical="center"/>
    </x:xf>
    <x:xf numFmtId="0" fontId="17" fillId="0" borderId="0" xfId="5" quotePrefix="1" applyNumberFormat="1" applyFont="1" applyBorder="1" applyAlignment="1">
      <x:alignment horizontal="left" vertical="bottom"/>
    </x:xf>
    <x:xf numFmtId="0" fontId="32" fillId="0" borderId="0" xfId="5" applyNumberFormat="1" applyFont="1" applyAlignment="1">
      <x:alignment horizontal="general" vertical="center"/>
    </x:xf>
    <x:xf numFmtId="258" fontId="17" fillId="0" borderId="0" xfId="5" applyNumberFormat="1" applyFont="1" applyAlignment="1">
      <x:alignment horizontal="left" vertical="center"/>
    </x:xf>
    <x:xf numFmtId="41" fontId="87" fillId="0" borderId="0" xfId="3" applyNumberFormat="1" applyFont="1" applyFill="1" applyAlignment="1">
      <x:alignment horizontal="left" vertical="center"/>
    </x:xf>
    <x:xf numFmtId="41" fontId="87" fillId="0" borderId="0" xfId="3" applyNumberFormat="1" applyFont="1" applyFill="1" applyAlignment="1">
      <x:alignment horizontal="general" vertical="center"/>
    </x:xf>
    <x:xf numFmtId="0" fontId="87" fillId="0" borderId="0" xfId="8" applyNumberFormat="1" applyFont="1" applyFill="1" applyAlignment="1">
      <x:alignment horizontal="general" vertical="center"/>
    </x:xf>
    <x:xf numFmtId="0" fontId="124" fillId="0" borderId="0" xfId="5" quotePrefix="1" applyNumberFormat="1" applyFont="1" applyBorder="1" applyAlignment="1">
      <x:alignment horizontal="left" vertical="center"/>
    </x:xf>
    <x:xf numFmtId="0" fontId="125" fillId="0" borderId="0" xfId="5" applyNumberFormat="1" applyFont="1" applyAlignment="1">
      <x:alignment horizontal="general" vertical="center"/>
    </x:xf>
    <x:xf numFmtId="0" fontId="125" fillId="0" borderId="0" xfId="5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5" fillId="0" borderId="0" xfId="5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5" fillId="0" borderId="0" xfId="5" applyNumberFormat="1" applyFont="1" applyAlignment="1">
          <x:alignment horizontal="center" vertical="center"/>
        </x:xf>
      </mc:Fallback>
    </mc:AlternateContent>
    <x:xf numFmtId="3" fontId="125" fillId="0" borderId="0" xfId="5" applyNumberFormat="1" applyFont="1" applyBorder="1" applyAlignment="1">
      <x:alignment horizontal="general" vertical="center"/>
    </x:xf>
    <x:xf numFmtId="0" fontId="87" fillId="0" borderId="0" xfId="5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7" fillId="0" borderId="0" xfId="5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7" fillId="0" borderId="0" xfId="5" applyNumberFormat="1" applyFont="1" applyAlignment="1">
          <x:alignment horizontal="center" vertical="center"/>
        </x:xf>
      </mc:Fallback>
    </mc:AlternateContent>
    <x:xf numFmtId="258" fontId="126" fillId="0" borderId="0" xfId="2" applyNumberFormat="1" applyFont="1" applyAlignment="1">
      <x:alignment horizontal="left" vertical="center"/>
    </x:xf>
    <x:xf numFmtId="0" fontId="87" fillId="0" borderId="0" xfId="5" applyNumberFormat="1" applyFont="1" applyBorder="1" applyAlignment="1">
      <x:alignment horizontal="general" vertical="center"/>
    </x:xf>
    <x:xf numFmtId="0" fontId="125" fillId="0" borderId="0" xfId="8" applyNumberFormat="1" applyFont="1" applyFill="1" applyAlignment="1">
      <x:alignment horizontal="general" vertical="center"/>
    </x:xf>
    <x:xf numFmtId="41" fontId="32" fillId="0" borderId="0" xfId="3" applyNumberFormat="1" applyFont="1" applyFill="1" applyAlignment="1">
      <x:alignment horizontal="general" vertical="center"/>
    </x:xf>
    <x:xf numFmtId="0" fontId="32" fillId="0" borderId="0" xfId="8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7" fillId="0" borderId="1" xfId="6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" xfId="6" quotePrefix="1" applyNumberFormat="1" applyFont="1" applyBorder="1" applyAlignment="1">
          <x:alignment horizontal="center" vertical="center"/>
        </x:xf>
      </mc:Fallback>
    </mc:AlternateContent>
    <x:xf numFmtId="0" fontId="127" fillId="0" borderId="2" xfId="5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7" fillId="0" borderId="1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3" xfId="5" applyNumberFormat="1" applyFont="1" applyBorder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3" xfId="5" applyNumberFormat="1" applyFont="1" applyBorder="1" applyAlignment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4" xfId="5" applyNumberFormat="1" applyFont="1" applyBorder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4" xfId="5" applyNumberFormat="1" applyFont="1" applyBorder="1" applyAlignment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5" xfId="6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5" xfId="6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6" xfId="6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6" xfId="6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5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5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7" xfId="6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7" xfId="6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8" xfId="6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8" xfId="6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9" xfId="6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9" xfId="6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9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9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10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0" xfId="5" applyNumberFormat="1" applyFont="1" applyBorder="1" applyAlignment="1">
          <x:alignment horizontal="center" vertical="center"/>
        </x:xf>
      </mc:Fallback>
    </mc:AlternateContent>
    <x:xf numFmtId="0" fontId="127" fillId="0" borderId="11" xfId="5" applyNumberFormat="1" applyFont="1" applyBorder="1" applyAlignment="1">
      <x:alignment horizontal="left" vertical="center"/>
    </x:xf>
    <x:xf numFmtId="0" fontId="127" fillId="0" borderId="12" xfId="5" applyNumberFormat="1" applyFont="1" applyBorder="1" applyAlignment="1">
      <x:alignment horizontal="left" vertical="center"/>
    </x:xf>
    <x:xf numFmtId="0" fontId="127" fillId="0" borderId="10" xfId="5" applyNumberFormat="1" applyFont="1" applyBorder="1" applyAlignment="1">
      <x:alignment horizontal="general" vertical="center"/>
    </x:xf>
    <x:xf numFmtId="0" fontId="127" fillId="0" borderId="0" xfId="5" applyNumberFormat="1" applyFont="1" applyBorder="1" applyAlignment="1">
      <x:alignment horizontal="general" vertical="center"/>
    </x:xf>
    <x:xf numFmtId="0" fontId="128" fillId="0" borderId="10" xfId="5" quotePrefix="1" applyNumberFormat="1" applyFont="1" applyBorder="1" applyAlignment="1">
      <x:alignment horizontal="left" vertical="center"/>
    </x:xf>
    <x:xf numFmtId="0" fontId="129" fillId="0" borderId="13" xfId="5" quotePrefix="1" applyNumberFormat="1" applyFont="1" applyBorder="1" applyAlignment="1">
      <x:alignment horizontal="left" vertical="center"/>
    </x:xf>
    <x:xf numFmtId="0" fontId="127" fillId="0" borderId="14" xfId="5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7" fillId="0" borderId="14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4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58" fontId="127" fillId="0" borderId="15" xfId="5" quotePrefix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58" fontId="127" fillId="0" borderId="15" xfId="5" quotePrefix="1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16" xfId="6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6" xfId="6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7" xfId="6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27" fillId="0" borderId="7" xfId="6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7" fillId="0" borderId="17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7" fillId="0" borderId="17" xfId="1" applyNumberFormat="1" applyFont="1" applyBorder="1" applyAlignment="1">
          <x:alignment horizontal="center" vertical="center"/>
        </x:xf>
      </mc:Fallback>
    </mc:AlternateContent>
    <x:xf numFmtId="41" fontId="127" fillId="0" borderId="17" xfId="3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7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8" xfId="0" applyNumberFormat="1" applyFont="1" applyBorder="1" applyAlignment="1">
          <x:alignment horizontal="center" vertical="center"/>
        </x:xf>
      </mc:Fallback>
    </mc:AlternateContent>
    <x:xf numFmtId="0" fontId="127" fillId="0" borderId="18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127" fillId="0" borderId="18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7" fillId="0" borderId="18" xfId="1" applyNumberFormat="1" applyFont="1" applyBorder="1" applyAlignment="1">
          <x:alignment horizontal="center" vertical="center"/>
        </x:xf>
      </mc:Fallback>
    </mc:AlternateContent>
    <x:xf numFmtId="41" fontId="127" fillId="0" borderId="18" xfId="3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7" fillId="0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7" fillId="0" borderId="1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7" fillId="0" borderId="18" xfId="1" applyNumberFormat="1" applyFont="1" applyFill="1" applyBorder="1" applyAlignment="1">
          <x:alignment horizontal="center" vertical="center"/>
        </x:xf>
      </mc:Fallback>
    </mc:AlternateContent>
    <x:xf numFmtId="41" fontId="17" fillId="0" borderId="0" xfId="3" applyNumberFormat="1" applyFont="1" applyFill="1" applyAlignment="1">
      <x:alignment horizontal="left" vertical="center"/>
    </x:xf>
    <x:xf numFmtId="41" fontId="17" fillId="0" borderId="0" xfId="3" applyNumberFormat="1" applyFont="1" applyFill="1" applyAlignment="1">
      <x:alignment horizontal="general" vertical="center"/>
    </x:xf>
    <x:xf numFmtId="0" fontId="17" fillId="0" borderId="0" xfId="8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0" fillId="0" borderId="8" xfId="6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0" fillId="0" borderId="8" xfId="6" applyNumberFormat="1" applyFont="1" applyBorder="1" applyAlignment="1">
          <x:alignment horizontal="center" vertical="center"/>
        </x:xf>
      </mc:Fallback>
    </mc:AlternateContent>
    <x:xf numFmtId="0" fontId="108" fillId="0" borderId="19" xfId="5" quotePrefix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7" fillId="2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2" borderId="18" xfId="0" applyNumberFormat="1" applyFont="1" applyFill="1" applyBorder="1" applyAlignment="1">
          <x:alignment horizontal="center" vertical="center"/>
        </x:xf>
      </mc:Fallback>
    </mc:AlternateContent>
    <x:xf numFmtId="0" fontId="127" fillId="2" borderId="18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37" fillId="0" borderId="20" xfId="5" applyNumberFormat="1" applyFont="1" applyBorder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20" xfId="5" applyNumberFormat="1" applyFont="1" applyBorder="1" applyAlignment="1">
          <x:alignment horizontal="centerContinuous" vertical="center"/>
        </x:xf>
      </mc:Fallback>
    </mc:AlternateContent>
    <x:xf numFmtId="0" fontId="127" fillId="0" borderId="12" xfId="5" quotePrefix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7" fillId="3" borderId="21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3" borderId="21" xfId="7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27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27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9" fillId="3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9" fillId="3" borderId="21" xfId="0" applyNumberFormat="1" applyFont="1" applyFill="1" applyBorder="1" applyAlignment="1">
          <x:alignment horizontal="center" vertical="center" wrapText="1"/>
        </x:xf>
      </mc:Fallback>
    </mc:AlternateContent>
    <x:xf numFmtId="41" fontId="127" fillId="3" borderId="22" xfId="3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7" fillId="3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3" borderId="21" xfId="0" applyNumberFormat="1" applyFont="1" applyFill="1" applyBorder="1" applyAlignment="1">
          <x:alignment horizontal="center" vertical="center"/>
        </x:xf>
      </mc:Fallback>
    </mc:AlternateContent>
    <x:xf numFmtId="0" fontId="127" fillId="3" borderId="21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9" fillId="3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9" fillId="3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9" fillId="0" borderId="18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9" fillId="0" borderId="18" xfId="3" applyNumberFormat="1" applyFont="1" applyBorder="1" applyAlignment="1">
          <x:alignment horizontal="center" vertical="center"/>
        </x:xf>
      </mc:Fallback>
    </mc:AlternateContent>
    <x:xf numFmtId="41" fontId="127" fillId="0" borderId="18" xfId="3" applyNumberFormat="1" applyFont="1" applyFill="1" applyBorder="1" applyAlignment="1">
      <x:alignment horizontal="left" vertical="center"/>
    </x:xf>
    <x:xf numFmtId="0" fontId="127" fillId="0" borderId="18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9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18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8" xfId="7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6" fillId="4" borderId="0" xfId="8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6" fillId="4" borderId="0" xfId="8" applyNumberFormat="1" applyFont="1" applyFill="1" applyAlignment="1">
          <x:alignment horizontal="center" vertical="center"/>
        </x:xf>
      </mc:Fallback>
    </mc:AlternateContent>
    <x:xf numFmtId="41" fontId="126" fillId="0" borderId="0" xfId="3" applyNumberFormat="1" applyFont="1" applyFill="1" applyAlignment="1">
      <x:alignment horizontal="left" vertical="center"/>
    </x:xf>
    <x:xf numFmtId="3" fontId="87" fillId="0" borderId="0" xfId="8" applyNumberFormat="1" applyFont="1" applyFill="1" applyAlignment="1">
      <x:alignment horizontal="general" vertical="center"/>
    </x:xf>
    <x:xf numFmtId="0" fontId="126" fillId="0" borderId="0" xfId="8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1" fillId="5" borderId="23" xfId="8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1" fillId="5" borderId="23" xfId="8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9" fillId="0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9" fillId="0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7" fillId="4" borderId="0" xfId="3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7" fillId="4" borderId="0" xfId="3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7" fillId="4" borderId="0" xfId="3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7" fillId="4" borderId="0" xfId="3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0" xfId="8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0" xfId="8" applyNumberFormat="1" applyFont="1" applyFill="1" applyAlignment="1">
          <x:alignment horizontal="center" vertical="center"/>
        </x:xf>
      </mc:Fallback>
    </mc:AlternateContent>
    <x:xf numFmtId="41" fontId="129" fillId="0" borderId="18" xfId="3" applyNumberFormat="1" applyFont="1" applyFill="1" applyBorder="1" applyAlignment="1">
      <x:alignment horizontal="left" vertical="center"/>
    </x:xf>
    <x:xf numFmtId="41" fontId="129" fillId="3" borderId="22" xfId="3" applyNumberFormat="1" applyFont="1" applyFill="1" applyBorder="1" applyAlignment="1">
      <x:alignment horizontal="left" vertical="center"/>
    </x:xf>
    <x:xf numFmtId="3" fontId="125" fillId="0" borderId="24" xfId="5" applyNumberFormat="1" applyFont="1" applyBorder="1" applyAlignment="1">
      <x:alignment horizontal="general" vertical="center"/>
    </x:xf>
    <x:xf numFmtId="165" fontId="87" fillId="0" borderId="0" xfId="1" applyNumberFormat="1" applyFont="1" applyFill="1" applyAlignment="1">
      <x:alignment horizontal="general" vertical="center"/>
    </x:xf>
    <x:xf numFmtId="0" fontId="132" fillId="0" borderId="0" xfId="8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3" fillId="0" borderId="0" xfId="0" applyNumberFormat="1" applyFon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133" fillId="0" borderId="0" xfId="0" applyNumberFormat="1" applyFont="1" applyAlignment="1">
          <x:alignment horizontal="left" vertical="center" indent="2"/>
        </x:xf>
      </mc:Fallback>
    </mc:AlternateContent>
    <x:xf numFmtId="165" fontId="87" fillId="0" borderId="0" xfId="8" applyNumberFormat="1" applyFont="1" applyFill="1" applyAlignment="1">
      <x:alignment horizontal="general" vertical="center"/>
    </x:xf>
    <x:xf numFmtId="41" fontId="126" fillId="0" borderId="0" xfId="8" applyNumberFormat="1" applyFont="1" applyFill="1" applyAlignment="1">
      <x:alignment horizontal="general" vertical="center"/>
    </x:xf>
    <x:xf numFmtId="165" fontId="132" fillId="0" borderId="0" xfId="1" applyNumberFormat="1" applyFont="1" applyFill="1" applyAlignment="1">
      <x:alignment horizontal="general" vertical="center"/>
    </x:xf>
    <x:xf numFmtId="41" fontId="132" fillId="0" borderId="0" xfId="3" applyNumberFormat="1" applyFont="1" applyFill="1" applyAlignment="1">
      <x:alignment horizontal="left" vertical="center"/>
    </x:xf>
    <x:xf numFmtId="41" fontId="132" fillId="0" borderId="0" xfId="3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4" fillId="0" borderId="0" xfId="0" applyNumberFormat="1" applyFon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134" fillId="0" borderId="0" xfId="0" applyNumberFormat="1" applyFont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5" fillId="0" borderId="0" xfId="0" applyNumberFormat="1" applyFon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135" fillId="0" borderId="0" xfId="0" applyNumberFormat="1" applyFont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5" fillId="0" borderId="0" xfId="0" applyNumberFormat="1" applyFon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135" fillId="0" borderId="0" xfId="0" applyNumberFormat="1" applyFont="1" applyAlignment="1">
          <x:alignment horizontal="left" vertical="center" indent="2"/>
        </x:xf>
      </mc:Fallback>
    </mc:AlternateContent>
    <x:xf numFmtId="0" fontId="87" fillId="0" borderId="0" xfId="5" applyNumberFormat="1" applyFont="1" applyAlignment="1">
      <x:alignment horizontal="left" vertical="center"/>
    </x:xf>
    <x:xf numFmtId="165" fontId="87" fillId="0" borderId="0" xfId="1" applyNumberFormat="1" applyFont="1" applyFill="1" applyAlignment="1">
      <x:alignment horizontal="left" vertical="center"/>
    </x:xf>
    <x:xf numFmtId="41" fontId="136" fillId="0" borderId="0" xfId="3" applyNumberFormat="1" applyFont="1" applyFill="1" applyAlignment="1">
      <x:alignment horizontal="left" vertical="center"/>
    </x:xf>
    <x:xf numFmtId="41" fontId="136" fillId="0" borderId="0" xfId="3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7" fillId="0" borderId="0" xfId="8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7" fillId="0" borderId="0" xfId="8" applyNumberFormat="1" applyFont="1" applyFill="1" applyAlignment="1">
          <x:alignment horizontal="center" vertical="center"/>
        </x:xf>
      </mc:Fallback>
    </mc:AlternateContent>
    <x:xf numFmtId="3" fontId="132" fillId="0" borderId="0" xfId="8" applyNumberFormat="1" applyFont="1" applyFill="1" applyAlignment="1">
      <x:alignment horizontal="general" vertical="center"/>
    </x:xf>
    <x:xf numFmtId="9" fontId="87" fillId="0" borderId="0" xfId="8" applyNumberFormat="1" applyFont="1" applyFill="1" applyAlignment="1">
      <x:alignment horizontal="general" vertical="center"/>
    </x:xf>
    <x:xf numFmtId="259" fontId="87" fillId="0" borderId="0" xfId="8" applyNumberFormat="1" applyFont="1" applyFill="1" applyAlignment="1">
      <x:alignment horizontal="general" vertical="center"/>
    </x:xf>
    <x:xf numFmtId="0" fontId="127" fillId="0" borderId="18" xfId="0" applyNumberFormat="1" applyFont="1" applyFill="1" applyBorder="1" applyAlignment="1">
      <x:alignment horizontal="left" vertical="center" wrapText="1"/>
    </x:xf>
    <x:xf numFmtId="0" fontId="127" fillId="0" borderId="18" xfId="0" applyNumberFormat="1" applyFont="1" applyFill="1" applyBorder="1" applyAlignment="1">
      <x:alignment horizontal="left" vertical="center"/>
    </x:xf>
    <x:xf numFmtId="0" fontId="127" fillId="0" borderId="18" xfId="0" applyNumberFormat="1" applyFont="1" applyFill="1" applyBorder="1" applyAlignment="1">
      <x:alignment horizontal="left" vertical="center" shrinkToFit="1"/>
    </x:xf>
    <x:xf numFmtId="165" fontId="136" fillId="0" borderId="0" xfId="8" applyNumberFormat="1" applyFont="1" applyFill="1" applyAlignment="1">
      <x:alignment horizontal="general" vertical="center"/>
    </x:xf>
    <x:xf numFmtId="165" fontId="87" fillId="0" borderId="0" xfId="8" applyNumberFormat="1" applyFont="1" applyFill="1" applyAlignment="1">
      <x:alignment horizontal="general" vertical="center"/>
    </x:xf>
    <x:xf numFmtId="0" fontId="87" fillId="0" borderId="0" xfId="8" applyNumberFormat="1" applyFont="1" applyFill="1" applyAlignment="1">
      <x:alignment horizontal="general" vertical="center"/>
    </x:xf>
    <x:xf numFmtId="165" fontId="132" fillId="0" borderId="0" xfId="8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9" fillId="0" borderId="19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9" fillId="0" borderId="19" xfId="7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9" fillId="0" borderId="15" xfId="7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9" fillId="0" borderId="15" xfId="7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0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15" xfId="0" applyNumberFormat="1" applyFont="1" applyFill="1" applyBorder="1" applyAlignment="1">
          <x:alignment horizontal="center" vertical="center" wrapText="1"/>
        </x:xf>
      </mc:Fallback>
    </mc:AlternateContent>
    <x:xf numFmtId="165" fontId="136" fillId="0" borderId="0" xfId="8" applyNumberFormat="1" applyFont="1" applyFill="1" applyAlignment="1">
      <x:alignment horizontal="general" vertical="center"/>
    </x:xf>
    <x:xf numFmtId="0" fontId="137" fillId="3" borderId="19" xfId="5" quotePrefix="1" applyNumberFormat="1" applyFont="1" applyFill="1" applyBorder="1" applyAlignment="1">
      <x:alignment horizontal="left" vertical="center"/>
    </x:xf>
    <x:xf numFmtId="0" fontId="137" fillId="3" borderId="14" xfId="5" quotePrefix="1" applyNumberFormat="1" applyFont="1" applyFill="1" applyBorder="1" applyAlignment="1">
      <x:alignment horizontal="left" vertical="center"/>
    </x:xf>
    <x:xf numFmtId="0" fontId="137" fillId="3" borderId="15" xfId="5" quotePrefix="1" applyNumberFormat="1" applyFont="1" applyFill="1" applyBorder="1" applyAlignment="1">
      <x:alignment horizontal="left" vertical="center"/>
    </x:xf>
    <x:xf numFmtId="0" fontId="129" fillId="0" borderId="1" xfId="0" applyNumberFormat="1" applyFont="1" applyFill="1" applyBorder="1" applyAlignment="1">
      <x:alignment horizontal="left" vertical="center"/>
    </x:xf>
    <x:xf numFmtId="0" fontId="129" fillId="0" borderId="4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7" fillId="2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2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2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2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7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2" borderId="27" xfId="0" applyNumberFormat="1" applyFont="1" applyFill="1" applyBorder="1" applyAlignment="1">
          <x:alignment horizontal="center" vertical="center"/>
        </x:xf>
      </mc:Fallback>
    </mc:AlternateContent>
    <x:xf numFmtId="0" fontId="129" fillId="0" borderId="28" xfId="6" applyNumberFormat="1" applyFont="1" applyBorder="1" applyAlignment="1">
      <x:alignment horizontal="general" vertical="center" shrinkToFit="1"/>
    </x:xf>
    <x:xf numFmtId="0" fontId="129" fillId="0" borderId="29" xfId="6" applyNumberFormat="1" applyFont="1" applyBorder="1" applyAlignment="1">
      <x:alignment horizontal="general" vertical="center" shrinkToFit="1"/>
    </x:xf>
    <x:xf numFmtId="0" fontId="129" fillId="0" borderId="30" xfId="6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38" fillId="0" borderId="0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8" fillId="0" borderId="0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9" fillId="0" borderId="0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9" fillId="0" borderId="0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57" fontId="140" fillId="0" borderId="20" xfId="9" applyNumberFormat="1" applyFont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257" fontId="140" fillId="0" borderId="20" xfId="9" applyNumberFormat="1" applyFont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57" fontId="140" fillId="0" borderId="3" xfId="9" applyNumberFormat="1" applyFont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257" fontId="140" fillId="0" borderId="3" xfId="9" applyNumberFormat="1" applyFont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57" fontId="140" fillId="0" borderId="4" xfId="9" applyNumberFormat="1" applyFont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257" fontId="140" fillId="0" borderId="4" xfId="9" applyNumberFormat="1" applyFont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1" fontId="127" fillId="0" borderId="31" xfId="6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31" fontId="127" fillId="0" borderId="31" xfId="6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0" borderId="26" xfId="6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37" fillId="0" borderId="26" xfId="6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5" fillId="0" borderId="25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5" fillId="0" borderId="25" xfId="5" applyNumberFormat="1" applyFont="1" applyBorder="1" applyAlignment="1">
          <x:alignment horizontal="center" vertical="center"/>
        </x:xf>
      </mc:Fallback>
    </mc:AlternateContent>
    <x:xf numFmtId="0" fontId="125" fillId="0" borderId="26" xfId="5" applyNumberFormat="1" applyFont="1" applyBorder="1" applyAlignment="1">
      <x:alignment horizontal="general" vertical="bottom"/>
    </x:xf>
    <x:xf numFmtId="0" fontId="125" fillId="0" borderId="27" xfId="5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37" fillId="0" borderId="31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31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0" borderId="26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26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0" borderId="27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27" xfId="5" applyNumberFormat="1" applyFont="1" applyBorder="1" applyAlignment="1">
          <x:alignment horizontal="center" vertical="center"/>
        </x:xf>
      </mc:Fallback>
    </mc:AlternateContent>
    <x:xf numFmtId="0" fontId="129" fillId="0" borderId="31" xfId="6" applyNumberFormat="1" applyFont="1" applyBorder="1" applyAlignment="1">
      <x:alignment horizontal="left" vertical="center" shrinkToFit="1"/>
    </x:xf>
    <x:xf numFmtId="0" fontId="127" fillId="0" borderId="26" xfId="6" applyNumberFormat="1" applyFont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27" fillId="0" borderId="32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7" fillId="0" borderId="32" xfId="5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7" fillId="0" borderId="33" xfId="5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7" fillId="0" borderId="33" xfId="5" applyNumberFormat="1" applyFont="1" applyBorder="1" applyAlignment="1">
          <x:alignment horizontal="center" vertical="center"/>
        </x:xf>
      </mc:Fallback>
    </mc:AlternateContent>
    <x:xf numFmtId="0" fontId="127" fillId="0" borderId="34" xfId="5" applyNumberFormat="1" applyFont="1" applyBorder="1" applyAlignment="1">
      <x:alignment horizontal="left" vertical="center" wrapText="1"/>
    </x:xf>
    <x:xf numFmtId="0" fontId="127" fillId="0" borderId="35" xfId="5" applyNumberFormat="1" applyFont="1" applyBorder="1" applyAlignment="1">
      <x:alignment horizontal="general" vertical="center" wrapText="1"/>
    </x:xf>
    <x:xf numFmtId="0" fontId="127" fillId="0" borderId="36" xfId="5" applyNumberFormat="1" applyFont="1" applyBorder="1" applyAlignment="1">
      <x:alignment horizontal="general" vertical="center" wrapText="1"/>
    </x:xf>
    <x:xf numFmtId="0" fontId="127" fillId="0" borderId="8" xfId="5" applyNumberFormat="1" applyFont="1" applyBorder="1" applyAlignment="1">
      <x:alignment horizontal="general" vertical="center" wrapText="1"/>
    </x:xf>
    <x:xf numFmtId="0" fontId="127" fillId="0" borderId="7" xfId="5" applyNumberFormat="1" applyFont="1" applyBorder="1" applyAlignment="1">
      <x:alignment horizontal="general" vertical="center" wrapText="1"/>
    </x:xf>
    <x:xf numFmtId="0" fontId="127" fillId="0" borderId="37" xfId="5" applyNumberFormat="1" applyFont="1" applyBorder="1" applyAlignment="1">
      <x:alignment horizontal="general" vertical="center" wrapText="1"/>
    </x:xf>
  </x:cellXfs>
  <x:cellStyles count="10">
    <x:cellStyle name="표준" xfId="0" builtinId="0"/>
    <x:cellStyle name="콤마[0]" xfId="1" builtinId="6"/>
    <x:cellStyle name="쉼표 [0] 2" xfId="2"/>
    <x:cellStyle name="쉼표 [0] 2 2" xfId="3"/>
    <x:cellStyle name="Followed Hyperlink" xfId="4" builtinId="9"/>
    <x:cellStyle name="표준 2" xfId="5"/>
    <x:cellStyle name="표준_도시가스-순천" xfId="6"/>
    <x:cellStyle name="표준_비교견적1_무전기납품(1)" xfId="7"/>
    <x:cellStyle name="표준_비교견적1_서구청cd,음향_무전기납품(1)" xfId="8"/>
    <x:cellStyle name="Hyperlink" xfId="9" builtinId="8"/>
  </x:cellStyles>
  <x:dxfs count="0"/>
  <x:tableStyles count="0" defaultTableStyle="TableStyleMedium9" defaultPivotStyle="PivotStyleLight16"/>
</x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openxmlformats.org/officeDocument/2006/relationships/worksheet" Target="worksheets/sheet1.xml" /></ns0: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Relationship Id="rId2" Type="http://schemas.openxmlformats.org/officeDocument/2006/relationships/image" Target="../media/image0.png"  /><Relationship Id="rId3" Type="http://schemas.openxmlformats.org/officeDocument/2006/relationships/image" Target="../media/image0.png"  /><Relationship Id="rId4" Type="http://schemas.openxmlformats.org/officeDocument/2006/relationships/image" Target="../media/image0.png"  /><Relationship Id="rId5" Type="http://schemas.openxmlformats.org/officeDocument/2006/relationships/image" Target="../media/image0.png"  /><Relationship Id="rId6" Type="http://schemas.openxmlformats.org/officeDocument/2006/relationships/image" Target="../media/image1.png"  /><Relationship Id="rId7" Type="http://schemas.openxmlformats.org/officeDocument/2006/relationships/image" Target="../media/image2.jpeg"  /></Relationships>
</file>

<file path=xl/drawings/_rels/vmlDrawing1.vml.rels><?xml version="1.0" encoding="UTF-8" standalone="yes" ?><Relationships xmlns="http://schemas.openxmlformats.org/package/2006/relationships"><Relationship Id="rId1" Type="http://schemas.openxmlformats.org/officeDocument/2006/relationships/image" Target="../media/image3.emf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9</xdr:col>
      <xdr:colOff>0</xdr:colOff>
      <xdr:row>29</xdr:row>
      <xdr:rowOff>0</xdr:rowOff>
    </xdr:from>
    <xdr:to>
      <xdr:col>9</xdr:col>
      <xdr:colOff>9525</xdr:colOff>
      <xdr:row>29</xdr:row>
      <xdr:rowOff>9525</xdr:rowOff>
    </xdr:to>
    <xdr:pic macro="" fPublished="0">
      <xdr:nvPicPr>
        <xdr:cNvPr id="13448" name="Picture 4" descr="space"/>
        <xdr:cNvPicPr>
          <a:picLocks noChangeAspect="1"/>
        </xdr:cNvPicPr>
      </xdr:nvPicPr>
      <xdr:blipFill rotWithShape="1">
        <a:blip r:embed="rId1">
          <a:alphaModFix/>
        </a:blip>
        <a:srcRect/>
        <a:stretch>
          <a:fillRect/>
        </a:stretch>
      </xdr:blipFill>
      <xdr:spPr>
        <a:xfrm>
          <a:off x="7600950" y="8048625"/>
          <a:ext cx="9525" cy="9525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 fLocksWithSheet="1" fPrintsWithSheet="1"/>
  </xdr:twoCellAnchor>
  <xdr:twoCellAnchor editAs="oneCell">
    <xdr:from>
      <xdr:col>9</xdr:col>
      <xdr:colOff>0</xdr:colOff>
      <xdr:row>29</xdr:row>
      <xdr:rowOff>0</xdr:rowOff>
    </xdr:from>
    <xdr:to>
      <xdr:col>9</xdr:col>
      <xdr:colOff>9525</xdr:colOff>
      <xdr:row>29</xdr:row>
      <xdr:rowOff>9525</xdr:rowOff>
    </xdr:to>
    <xdr:pic macro="" fPublished="0">
      <xdr:nvPicPr>
        <xdr:cNvPr id="13449" name="Picture 4" descr="space"/>
        <xdr:cNvPicPr>
          <a:picLocks noChangeAspect="1"/>
        </xdr:cNvPicPr>
      </xdr:nvPicPr>
      <xdr:blipFill rotWithShape="1">
        <a:blip r:embed="rId2">
          <a:alphaModFix/>
        </a:blip>
        <a:srcRect/>
        <a:stretch>
          <a:fillRect/>
        </a:stretch>
      </xdr:blipFill>
      <xdr:spPr>
        <a:xfrm>
          <a:off x="7600950" y="8048625"/>
          <a:ext cx="9525" cy="9525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 fLocksWithSheet="1" fPrintsWithSheet="1"/>
  </xdr:twoCellAnchor>
  <xdr:twoCellAnchor editAs="oneCell">
    <xdr:from>
      <xdr:col>9</xdr:col>
      <xdr:colOff>0</xdr:colOff>
      <xdr:row>29</xdr:row>
      <xdr:rowOff>0</xdr:rowOff>
    </xdr:from>
    <xdr:to>
      <xdr:col>9</xdr:col>
      <xdr:colOff>9525</xdr:colOff>
      <xdr:row>29</xdr:row>
      <xdr:rowOff>9525</xdr:rowOff>
    </xdr:to>
    <xdr:pic macro="" fPublished="0">
      <xdr:nvPicPr>
        <xdr:cNvPr id="13450" name="Picture 4" descr="space"/>
        <xdr:cNvPicPr>
          <a:picLocks noChangeAspect="1"/>
        </xdr:cNvPicPr>
      </xdr:nvPicPr>
      <xdr:blipFill rotWithShape="1">
        <a:blip r:embed="rId3">
          <a:alphaModFix/>
        </a:blip>
        <a:srcRect/>
        <a:stretch>
          <a:fillRect/>
        </a:stretch>
      </xdr:blipFill>
      <xdr:spPr>
        <a:xfrm>
          <a:off x="7600950" y="8048625"/>
          <a:ext cx="9525" cy="9525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 fLocksWithSheet="1" fPrintsWithSheet="1"/>
  </xdr:twoCellAnchor>
  <xdr:twoCellAnchor editAs="oneCell">
    <xdr:from>
      <xdr:col>9</xdr:col>
      <xdr:colOff>0</xdr:colOff>
      <xdr:row>28</xdr:row>
      <xdr:rowOff>0</xdr:rowOff>
    </xdr:from>
    <xdr:to>
      <xdr:col>9</xdr:col>
      <xdr:colOff>9525</xdr:colOff>
      <xdr:row>28</xdr:row>
      <xdr:rowOff>9525</xdr:rowOff>
    </xdr:to>
    <xdr:pic macro="" fPublished="0">
      <xdr:nvPicPr>
        <xdr:cNvPr id="13452" name="Picture 4" descr="space"/>
        <xdr:cNvPicPr>
          <a:picLocks noChangeAspect="1"/>
        </xdr:cNvPicPr>
      </xdr:nvPicPr>
      <xdr:blipFill rotWithShape="1">
        <a:blip r:embed="rId4">
          <a:alphaModFix/>
        </a:blip>
        <a:srcRect/>
        <a:stretch>
          <a:fillRect/>
        </a:stretch>
      </xdr:blipFill>
      <xdr:spPr>
        <a:xfrm>
          <a:off x="7600950" y="7877174"/>
          <a:ext cx="9525" cy="9525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 fLocksWithSheet="1" fPrintsWithSheet="1"/>
  </xdr:twoCellAnchor>
  <xdr:twoCellAnchor editAs="oneCell">
    <xdr:from>
      <xdr:col>9</xdr:col>
      <xdr:colOff>0</xdr:colOff>
      <xdr:row>28</xdr:row>
      <xdr:rowOff>0</xdr:rowOff>
    </xdr:from>
    <xdr:to>
      <xdr:col>9</xdr:col>
      <xdr:colOff>9525</xdr:colOff>
      <xdr:row>28</xdr:row>
      <xdr:rowOff>9525</xdr:rowOff>
    </xdr:to>
    <xdr:pic macro="" fPublished="0">
      <xdr:nvPicPr>
        <xdr:cNvPr id="13453" name="Picture 4" descr="space"/>
        <xdr:cNvPicPr>
          <a:picLocks noChangeAspect="1"/>
        </xdr:cNvPicPr>
      </xdr:nvPicPr>
      <xdr:blipFill rotWithShape="1">
        <a:blip r:embed="rId5">
          <a:alphaModFix/>
        </a:blip>
        <a:srcRect/>
        <a:stretch>
          <a:fillRect/>
        </a:stretch>
      </xdr:blipFill>
      <xdr:spPr>
        <a:xfrm>
          <a:off x="7600950" y="7877174"/>
          <a:ext cx="9525" cy="9525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 fLocksWithSheet="1" fPrintsWithSheet="1"/>
  </xdr:twoCellAnchor>
  <xdr:twoCellAnchor editAs="oneCell">
    <xdr:from>
      <xdr:col>5</xdr:col>
      <xdr:colOff>1066800</xdr:colOff>
      <xdr:row>26</xdr:row>
      <xdr:rowOff>247649</xdr:rowOff>
    </xdr:from>
    <xdr:to>
      <xdr:col>8</xdr:col>
      <xdr:colOff>0</xdr:colOff>
      <xdr:row>28</xdr:row>
      <xdr:rowOff>133350</xdr:rowOff>
    </xdr:to>
    <xdr:pic macro="" fPublished="0">
      <xdr:nvPicPr>
        <xdr:cNvPr id="13454" name="그림 4"/>
        <xdr:cNvPicPr>
          <a:picLocks noChangeAspect="1"/>
        </xdr:cNvPicPr>
      </xdr:nvPicPr>
      <xdr:blipFill rotWithShape="1">
        <a:blip r:embed="rId6">
          <a:alphaModFix/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5267325" y="7610474"/>
          <a:ext cx="1847850" cy="400050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 fLocksWithSheet="1" fPrintsWithSheet="1"/>
  </xdr:twoCellAnchor>
  <xdr:twoCellAnchor editAs="oneCell">
    <xdr:from>
      <xdr:col>5</xdr:col>
      <xdr:colOff>904875</xdr:colOff>
      <xdr:row>7</xdr:row>
      <xdr:rowOff>190500</xdr:rowOff>
    </xdr:from>
    <xdr:to>
      <xdr:col>6</xdr:col>
      <xdr:colOff>552450</xdr:colOff>
      <xdr:row>10</xdr:row>
      <xdr:rowOff>190500</xdr:rowOff>
    </xdr:to>
    <xdr:pic macro="" fPublished="0">
      <xdr:nvPicPr>
        <xdr:cNvPr id="13455" name="그림 9"/>
        <xdr:cNvPicPr>
          <a:picLocks noChangeAspect="1"/>
        </xdr:cNvPicPr>
      </xdr:nvPicPr>
      <xdr:blipFill rotWithShape="1">
        <a:blip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105400" y="2190750"/>
          <a:ext cx="742950" cy="685800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Relationship Id="rId2" Type="http://schemas.openxmlformats.org/officeDocument/2006/relationships/vmlDrawing" Target="../drawings/vmlDrawing1.v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39"/>
  <x:sheetViews>
    <x:sheetView showGridLines="0" tabSelected="1" view="pageBreakPreview" topLeftCell="C1" zoomScaleNormal="100" zoomScaleSheetLayoutView="100" workbookViewId="0">
      <x:selection activeCell="J4" activeCellId="0" sqref="J4:J4"/>
    </x:sheetView>
  </x:sheetViews>
  <x:sheetFormatPr defaultColWidth="8.88671875" defaultRowHeight="13.550000000000001"/>
  <x:cols>
    <x:col min="1" max="1" width="4.44140625" style="31" customWidth="1"/>
    <x:col min="2" max="2" width="19.77734375" style="31" customWidth="1"/>
    <x:col min="3" max="3" width="15.44140625" style="31" customWidth="1"/>
    <x:col min="4" max="5" width="4.6640625" style="31" customWidth="1"/>
    <x:col min="6" max="6" width="12.77734375" style="31" customWidth="1"/>
    <x:col min="7" max="7" width="14.21875" style="31" customWidth="1"/>
    <x:col min="8" max="8" width="7" style="31" customWidth="1"/>
    <x:col min="9" max="9" width="5.6640625" style="17" customWidth="1"/>
    <x:col min="10" max="10" width="7.5546875" style="17" customWidth="1"/>
    <x:col min="11" max="11" width="10.6640625" style="18" customWidth="1"/>
    <x:col min="12" max="12" width="4.77734375" style="18" customWidth="1"/>
    <x:col min="13" max="13" width="11.33203125" style="18" customWidth="1"/>
    <x:col min="14" max="14" width="0.44140625" style="18" customWidth="1"/>
    <x:col min="15" max="15" width="7.44140625" style="18" customWidth="1"/>
    <x:col min="16" max="16" width="11.21875" style="30" bestFit="1" customWidth="1"/>
    <x:col min="17" max="17" width="8.88671875" style="31"/>
    <x:col min="18" max="18" width="10.33203125" style="31" customWidth="1"/>
    <x:col min="19" max="256" width="8.88671875" style="31"/>
  </x:cols>
  <x:sheetData>
    <x:row r="1" spans="1:15" s="3" customFormat="1" ht="52.5" customHeight="1">
      <x:c r="A1" s="142" t="s">
        <x:v>18</x:v>
      </x:c>
      <x:c r="B1" s="143"/>
      <x:c r="C1" s="143"/>
      <x:c r="D1" s="143"/>
      <x:c r="E1" s="143"/>
      <x:c r="F1" s="143"/>
      <x:c r="G1" s="143"/>
      <x:c r="H1" s="143"/>
      <x:c r="J1" s="4"/>
      <x:c r="K1" s="4"/>
      <x:c r="L1" s="4"/>
      <x:c r="N1" s="5"/>
      <x:c r="O1" s="4"/>
    </x:row>
    <x:row r="2" spans="1:16" s="3" customFormat="1" ht="14.25" customHeight="1">
      <x:c r="A2" s="6"/>
      <x:c r="B2" s="1"/>
      <x:c r="C2" s="7"/>
      <x:c r="D2" s="1"/>
      <x:c r="E2" s="2"/>
      <x:c r="F2" s="8"/>
      <x:c r="G2" s="8"/>
      <x:c r="H2" s="2"/>
      <x:c r="J2" s="9" t="s">
        <x:v>32</x:v>
      </x:c>
      <x:c r="K2" s="9" t="s">
        <x:v>36</x:v>
      </x:c>
      <x:c r="L2" s="4" t="s">
        <x:v>35</x:v>
      </x:c>
      <x:c r="N2" s="5"/>
      <x:c r="P2" s="4" t="s">
        <x:v>41</x:v>
      </x:c>
    </x:row>
    <x:row r="3" spans="1:15" s="3" customFormat="1" ht="3.75" customHeight="1">
      <x:c r="A3" s="10"/>
      <x:c r="B3" s="1"/>
      <x:c r="C3" s="7"/>
      <x:c r="D3" s="1"/>
      <x:c r="E3" s="2"/>
      <x:c r="F3" s="8"/>
      <x:c r="G3" s="8"/>
      <x:c r="H3" s="2"/>
      <x:c r="J3" s="4"/>
      <x:c r="K3" s="4"/>
      <x:c r="L3" s="4"/>
      <x:c r="N3" s="5"/>
      <x:c r="O3" s="4"/>
    </x:row>
    <x:row r="4" spans="1:18" s="3" customFormat="1" ht="21.949999999999999" customHeight="1">
      <x:c r="A4" s="5"/>
      <x:c r="B4" s="5"/>
      <x:c r="C4" s="5"/>
      <x:c r="D4" s="5"/>
      <x:c r="E4" s="11"/>
      <x:c r="F4" s="8"/>
      <x:c r="G4" s="8"/>
      <x:c r="H4" s="11"/>
      <x:c r="J4" s="32" t="s">
        <x:v>30</x:v>
      </x:c>
      <x:c r="K4" s="144" t="s">
        <x:v>8</x:v>
      </x:c>
      <x:c r="L4" s="145"/>
      <x:c r="M4" s="146"/>
      <x:c r="N4" s="33"/>
      <x:c r="O4" s="34" t="s">
        <x:v>23</x:v>
      </x:c>
      <x:c r="P4" s="72" t="s">
        <x:v>6</x:v>
      </x:c>
      <x:c r="Q4" s="35"/>
      <x:c r="R4" s="36"/>
    </x:row>
    <x:row r="5" spans="1:18" s="3" customFormat="1" ht="21.949999999999999" customHeight="1">
      <x:c r="A5" s="5"/>
      <x:c r="B5" s="5"/>
      <x:c r="C5" s="5"/>
      <x:c r="D5" s="5"/>
      <x:c r="E5" s="11"/>
      <x:c r="F5" s="12"/>
      <x:c r="G5" s="12"/>
      <x:c r="H5" s="13"/>
      <x:c r="J5" s="37" t="s">
        <x:v>24</x:v>
      </x:c>
      <x:c r="K5" s="147">
        <x:v>44733</x:v>
      </x:c>
      <x:c r="L5" s="148"/>
      <x:c r="M5" s="55"/>
      <x:c r="N5" s="33"/>
      <x:c r="O5" s="149" t="s">
        <x:v>3</x:v>
      </x:c>
      <x:c r="P5" s="150"/>
      <x:c r="Q5" s="150"/>
      <x:c r="R5" s="151"/>
    </x:row>
    <x:row r="6" spans="1:18" s="3" customFormat="1" ht="21.949999999999999" customHeight="1">
      <x:c r="A6" s="5"/>
      <x:c r="B6" s="5"/>
      <x:c r="C6" s="5"/>
      <x:c r="D6" s="5"/>
      <x:c r="E6" s="11"/>
      <x:c r="F6" s="8"/>
      <x:c r="G6" s="8"/>
      <x:c r="H6" s="11"/>
      <x:c r="J6" s="37" t="s">
        <x:v>27</x:v>
      </x:c>
      <x:c r="K6" s="38" t="s">
        <x:v>39</x:v>
      </x:c>
      <x:c r="L6" s="41" t="s">
        <x:v>45</x:v>
      </x:c>
      <x:c r="M6" s="54" t="s">
        <x:v>15</x:v>
      </x:c>
      <x:c r="N6" s="33"/>
      <x:c r="O6" s="39" t="s">
        <x:v>25</x:v>
      </x:c>
      <x:c r="P6" s="152" t="s">
        <x:v>19</x:v>
      </x:c>
      <x:c r="Q6" s="153"/>
      <x:c r="R6" s="154"/>
    </x:row>
    <x:row r="7" spans="1:18" s="3" customFormat="1" ht="21.949999999999999" customHeight="1">
      <x:c r="A7" s="5"/>
      <x:c r="B7" s="5"/>
      <x:c r="C7" s="5"/>
      <x:c r="D7" s="5"/>
      <x:c r="E7" s="11"/>
      <x:c r="F7" s="8"/>
      <x:c r="G7" s="8"/>
      <x:c r="H7" s="11"/>
      <x:c r="J7" s="37" t="s">
        <x:v>26</x:v>
      </x:c>
      <x:c r="K7" s="155" t="s">
        <x:v>40</x:v>
      </x:c>
      <x:c r="L7" s="156"/>
      <x:c r="M7" s="40" t="s">
        <x:v>43</x:v>
      </x:c>
      <x:c r="N7" s="33"/>
      <x:c r="O7" s="157" t="s">
        <x:v>31</x:v>
      </x:c>
      <x:c r="P7" s="159" t="s">
        <x:v>4</x:v>
      </x:c>
      <x:c r="Q7" s="160"/>
      <x:c r="R7" s="161"/>
    </x:row>
    <x:row r="8" spans="1:18" s="3" customFormat="1" ht="21.949999999999999" customHeight="1">
      <x:c r="A8" s="5"/>
      <x:c r="B8" s="5"/>
      <x:c r="C8" s="5"/>
      <x:c r="D8" s="5"/>
      <x:c r="E8" s="11"/>
      <x:c r="F8" s="8"/>
      <x:c r="G8" s="8"/>
      <x:c r="H8" s="11"/>
      <x:c r="J8" s="37" t="s">
        <x:v>37</x:v>
      </x:c>
      <x:c r="K8" s="68"/>
      <x:c r="L8" s="41" t="s">
        <x:v>45</x:v>
      </x:c>
      <x:c r="M8" s="41"/>
      <x:c r="N8" s="33"/>
      <x:c r="O8" s="158"/>
      <x:c r="P8" s="162"/>
      <x:c r="Q8" s="163"/>
      <x:c r="R8" s="164"/>
    </x:row>
    <x:row r="9" spans="1:19" s="3" customFormat="1" ht="21.949999999999999" customHeight="1">
      <x:c r="A9" s="14"/>
      <x:c r="B9" s="5"/>
      <x:c r="C9" s="5"/>
      <x:c r="D9" s="5"/>
      <x:c r="E9" s="11"/>
      <x:c r="F9" s="8"/>
      <x:c r="G9" s="8"/>
      <x:c r="H9" s="11"/>
      <x:c r="J9" s="42" t="s">
        <x:v>42</x:v>
      </x:c>
      <x:c r="K9" s="139" t="s">
        <x:v>16</x:v>
      </x:c>
      <x:c r="L9" s="140"/>
      <x:c r="M9" s="141"/>
      <x:c r="N9" s="33"/>
      <x:c r="O9" s="43" t="s">
        <x:v>38</x:v>
      </x:c>
      <x:c r="P9" s="73" t="s">
        <x:v>17</x:v>
      </x:c>
      <x:c r="Q9" s="44"/>
      <x:c r="R9" s="45"/>
      <x:c r="S9" s="15"/>
    </x:row>
    <x:row r="10" spans="1:19" s="3" customFormat="1" ht="10.5" customHeight="1">
      <x:c r="A10" s="14"/>
      <x:c r="B10" s="5"/>
      <x:c r="C10" s="5"/>
      <x:c r="D10" s="5"/>
      <x:c r="E10" s="11"/>
      <x:c r="F10" s="8"/>
      <x:c r="G10" s="8"/>
      <x:c r="H10" s="11"/>
      <x:c r="J10" s="43"/>
      <x:c r="K10" s="46"/>
      <x:c r="L10" s="44"/>
      <x:c r="M10" s="47"/>
      <x:c r="N10" s="48"/>
      <x:c r="O10" s="44"/>
      <x:c r="P10" s="49"/>
      <x:c r="Q10" s="44"/>
      <x:c r="R10" s="45"/>
      <x:c r="S10" s="15"/>
    </x:row>
    <x:row r="11" spans="1:19" s="3" customFormat="1" ht="30" customHeight="1">
      <x:c r="A11" s="131" t="str">
        <x:f>" 합계금액 : 일금 "&amp;NUMBERSTRING(G24,1)&amp;"원정 ( \"&amp;TEXT(G24,"#,###")&amp;" )"</x:f>
        <x:v xml:space="preserve"> 합계금액 : 일금 구천칠백이만원정 ( \97,020,000 )</x:v>
      </x:c>
      <x:c r="B11" s="132"/>
      <x:c r="C11" s="132"/>
      <x:c r="D11" s="132"/>
      <x:c r="E11" s="132"/>
      <x:c r="F11" s="132"/>
      <x:c r="G11" s="132"/>
      <x:c r="H11" s="133"/>
      <x:c r="J11" s="69" t="s">
        <x:v>20</x:v>
      </x:c>
      <x:c r="K11" s="50"/>
      <x:c r="L11" s="51"/>
      <x:c r="M11" s="52"/>
      <x:c r="N11" s="51"/>
      <x:c r="O11" s="51"/>
      <x:c r="P11" s="51"/>
      <x:c r="Q11" s="51"/>
      <x:c r="R11" s="53"/>
      <x:c r="S11" s="16"/>
    </x:row>
    <x:row r="12" spans="1:21" s="86" customFormat="1" ht="18" customHeight="1">
      <x:c r="A12" s="90" t="s">
        <x:v>48</x:v>
      </x:c>
      <x:c r="B12" s="90" t="s">
        <x:v>13</x:v>
      </x:c>
      <x:c r="C12" s="90" t="s">
        <x:v>14</x:v>
      </x:c>
      <x:c r="D12" s="90" t="s">
        <x:v>10</x:v>
      </x:c>
      <x:c r="E12" s="90" t="s">
        <x:v>44</x:v>
      </x:c>
      <x:c r="F12" s="90" t="s">
        <x:v>28</x:v>
      </x:c>
      <x:c r="G12" s="90" t="s">
        <x:v>21</x:v>
      </x:c>
      <x:c r="H12" s="90" t="s">
        <x:v>46</x:v>
      </x:c>
      <x:c r="I12" s="87"/>
      <x:c r="J12" s="117"/>
      <x:c r="K12" s="19"/>
      <x:c r="L12" s="19"/>
      <x:c r="M12" s="19"/>
      <x:c r="N12" s="19"/>
      <x:c r="O12" s="92"/>
      <x:c r="P12" s="93"/>
      <x:c r="Q12" s="94"/>
      <x:c r="R12" s="94"/>
      <x:c r="S12" s="94"/>
      <x:c r="T12" s="94"/>
      <x:c r="U12" s="94"/>
    </x:row>
    <x:row r="13" spans="1:16" s="19" customFormat="1" ht="22.5" customHeight="1">
      <x:c r="A13" s="91"/>
      <x:c r="B13" s="134" t="str">
        <x:f>K9</x:f>
        <x:v>목포대학교체육관및약대 리모델링 통신공사</x:v>
      </x:c>
      <x:c r="C13" s="135"/>
      <x:c r="D13" s="56"/>
      <x:c r="E13" s="57"/>
      <x:c r="F13" s="57"/>
      <x:c r="G13" s="57"/>
      <x:c r="H13" s="58"/>
      <x:c r="I13" s="17"/>
      <x:c r="M13" s="114"/>
      <x:c r="N13" s="130"/>
      <x:c r="O13" s="130"/>
      <x:c r="P13" s="116">
        <x:v>0.40000000000000002</x:v>
      </x:c>
    </x:row>
    <x:row r="14" spans="1:16" s="19" customFormat="1" ht="22.5" customHeight="1">
      <x:c r="A14" s="70">
        <x:v>1</x:v>
      </x:c>
      <x:c r="B14" s="71" t="s">
        <x:v>34</x:v>
      </x:c>
      <x:c r="C14" s="71"/>
      <x:c r="D14" s="70" t="s">
        <x:v>9</x:v>
      </x:c>
      <x:c r="E14" s="61">
        <x:v>1</x:v>
      </x:c>
      <x:c r="F14" s="61">
        <x:v>88200000</x:v>
      </x:c>
      <x:c r="G14" s="61">
        <x:f>E14*F14</x:f>
        <x:v>88200000</x:v>
      </x:c>
      <x:c r="H14" s="62"/>
      <x:c r="I14" s="17"/>
      <x:c r="K14" s="98"/>
      <x:c r="M14" s="115"/>
      <x:c r="N14" s="130"/>
      <x:c r="O14" s="130"/>
      <x:c r="P14" s="98">
        <x:f t="shared" ref="P14:P19" si="0">M14*1.4</x:f>
        <x:v>0</x:v>
      </x:c>
    </x:row>
    <x:row r="15" spans="1:16" s="19" customFormat="1" ht="22.5" customHeight="1">
      <x:c r="A15" s="70">
        <x:v>2</x:v>
      </x:c>
      <x:c r="B15" s="71"/>
      <x:c r="C15" s="71"/>
      <x:c r="D15" s="70"/>
      <x:c r="E15" s="61"/>
      <x:c r="F15" s="61"/>
      <x:c r="G15" s="61">
        <x:f>E15*F15</x:f>
        <x:v>0</x:v>
      </x:c>
      <x:c r="H15" s="62"/>
      <x:c r="I15" s="17"/>
      <x:c r="K15" s="98"/>
      <x:c r="M15" s="115"/>
      <x:c r="N15" s="121"/>
      <x:c r="O15" s="121"/>
      <x:c r="P15" s="98"/>
    </x:row>
    <x:row r="16" spans="1:16" s="19" customFormat="1" ht="22.5" customHeight="1">
      <x:c r="A16" s="70">
        <x:v>3</x:v>
      </x:c>
      <x:c r="B16" s="60"/>
      <x:c r="C16" s="60"/>
      <x:c r="D16" s="59"/>
      <x:c r="E16" s="61"/>
      <x:c r="F16" s="61"/>
      <x:c r="G16" s="61">
        <x:f>E16*F16</x:f>
        <x:v>0</x:v>
      </x:c>
      <x:c r="H16" s="62"/>
      <x:c r="I16" s="17"/>
      <x:c r="M16" s="115"/>
      <x:c r="N16" s="130"/>
      <x:c r="O16" s="130"/>
      <x:c r="P16" s="98">
        <x:f t="shared" si="0"/>
        <x:v>0</x:v>
      </x:c>
    </x:row>
    <x:row r="17" spans="1:16" s="19" customFormat="1" ht="27.75" customHeight="1">
      <x:c r="A17" s="63"/>
      <x:c r="B17" s="118"/>
      <x:c r="C17" s="119"/>
      <x:c r="D17" s="63"/>
      <x:c r="E17" s="64"/>
      <x:c r="F17" s="64"/>
      <x:c r="G17" s="61"/>
      <x:c r="H17" s="62"/>
      <x:c r="I17" s="17"/>
      <x:c r="J17" s="99"/>
      <x:c r="K17" s="103"/>
      <x:c r="M17" s="115"/>
      <x:c r="N17" s="101"/>
      <x:c r="O17" s="101"/>
      <x:c r="P17" s="98">
        <x:f t="shared" si="0"/>
        <x:v>0</x:v>
      </x:c>
    </x:row>
    <x:row r="18" spans="1:16" s="19" customFormat="1" ht="22.5" customHeight="1">
      <x:c r="A18" s="136" t="s">
        <x:v>5</x:v>
      </x:c>
      <x:c r="B18" s="137"/>
      <x:c r="C18" s="137"/>
      <x:c r="D18" s="137"/>
      <x:c r="E18" s="137"/>
      <x:c r="F18" s="137"/>
      <x:c r="G18" s="137"/>
      <x:c r="H18" s="138"/>
      <x:c r="I18" s="17"/>
      <x:c r="M18" s="115"/>
      <x:c r="N18" s="130"/>
      <x:c r="O18" s="130"/>
      <x:c r="P18" s="98">
        <x:f t="shared" si="0"/>
        <x:v>0</x:v>
      </x:c>
    </x:row>
    <x:row r="19" spans="1:16" s="19" customFormat="1" ht="22.5" customHeight="1">
      <x:c r="A19" s="70"/>
      <x:c r="B19" s="119"/>
      <x:c r="C19" s="120"/>
      <x:c r="D19" s="63"/>
      <x:c r="E19" s="64"/>
      <x:c r="F19" s="64"/>
      <x:c r="G19" s="61"/>
      <x:c r="H19" s="62"/>
      <x:c r="I19" s="17"/>
      <x:c r="M19" s="115"/>
      <x:c r="N19" s="130"/>
      <x:c r="O19" s="130"/>
      <x:c r="P19" s="98">
        <x:f t="shared" si="0"/>
        <x:v>0</x:v>
      </x:c>
    </x:row>
    <x:row r="20" spans="1:16" s="19" customFormat="1" ht="22.5" customHeight="1">
      <x:c r="A20" s="70"/>
      <x:c r="B20" s="60"/>
      <x:c r="C20" s="60"/>
      <x:c r="D20" s="63"/>
      <x:c r="E20" s="64"/>
      <x:c r="F20" s="64"/>
      <x:c r="G20" s="61"/>
      <x:c r="H20" s="62"/>
      <x:c r="I20" s="17"/>
      <x:c r="M20" s="115"/>
      <x:c r="N20" s="130"/>
      <x:c r="O20" s="130"/>
      <x:c r="P20" s="98"/>
    </x:row>
    <x:row r="21" spans="1:21" s="19" customFormat="1" ht="22.5" customHeight="1">
      <x:c r="A21" s="59"/>
      <x:c r="B21" s="60"/>
      <x:c r="C21" s="60"/>
      <x:c r="D21" s="59"/>
      <x:c r="E21" s="61"/>
      <x:c r="F21" s="61"/>
      <x:c r="G21" s="61"/>
      <x:c r="H21" s="62"/>
      <x:c r="I21" s="17"/>
      <x:c r="J21" s="99"/>
      <x:c r="K21" s="103"/>
      <x:c r="M21" s="88"/>
      <x:c r="N21" s="122"/>
      <x:c r="O21" s="122"/>
      <x:c r="P21" s="100"/>
      <x:c r="Q21" s="18"/>
      <x:c r="R21" s="18"/>
      <x:c r="S21" s="18"/>
      <x:c r="T21" s="18"/>
      <x:c r="U21" s="18"/>
    </x:row>
    <x:row r="22" spans="1:21" s="19" customFormat="1" ht="22.5" customHeight="1">
      <x:c r="A22" s="85"/>
      <x:c r="B22" s="84" t="s">
        <x:v>11</x:v>
      </x:c>
      <x:c r="C22" s="83"/>
      <x:c r="D22" s="63"/>
      <x:c r="E22" s="59"/>
      <x:c r="F22" s="82"/>
      <x:c r="G22" s="95">
        <x:f>SUM(G14:G21)</x:f>
        <x:v>88200000</x:v>
      </x:c>
      <x:c r="H22" s="81"/>
      <x:c r="I22" s="17"/>
      <x:c r="J22" s="99"/>
      <x:c r="K22" s="103"/>
      <x:c r="N22" s="123"/>
      <x:c r="O22" s="123"/>
      <x:c r="P22" s="100"/>
      <x:c r="Q22" s="18"/>
      <x:c r="R22" s="18"/>
      <x:c r="S22" s="18"/>
      <x:c r="T22" s="18"/>
      <x:c r="U22" s="18"/>
    </x:row>
    <x:row r="23" spans="1:21" s="19" customFormat="1" ht="22.5" customHeight="1">
      <x:c r="A23" s="85"/>
      <x:c r="B23" s="84" t="s">
        <x:v>47</x:v>
      </x:c>
      <x:c r="C23" s="75">
        <x:v>0.10000000000000001</x:v>
      </x:c>
      <x:c r="D23" s="63"/>
      <x:c r="E23" s="59"/>
      <x:c r="F23" s="82"/>
      <x:c r="G23" s="95">
        <x:f>G22*0.1</x:f>
        <x:v>8820000</x:v>
      </x:c>
      <x:c r="H23" s="81"/>
      <x:c r="I23" s="17"/>
      <x:c r="J23" s="99"/>
      <x:c r="K23" s="99"/>
      <x:c r="L23" s="99"/>
      <x:c r="M23" s="99"/>
      <x:c r="N23" s="124"/>
      <x:c r="O23" s="124"/>
      <x:c r="P23" s="103">
        <x:f>N23*1.4</x:f>
        <x:v>0</x:v>
      </x:c>
      <x:c r="Q23" s="105"/>
      <x:c r="R23" s="18"/>
      <x:c r="S23" s="18"/>
      <x:c r="T23" s="18"/>
      <x:c r="U23" s="18"/>
    </x:row>
    <x:row r="24" spans="1:21" s="19" customFormat="1" ht="22.5" customHeight="1">
      <x:c r="A24" s="74"/>
      <x:c r="B24" s="80" t="s">
        <x:v>33</x:v>
      </x:c>
      <x:c r="C24" s="79"/>
      <x:c r="D24" s="78"/>
      <x:c r="E24" s="78"/>
      <x:c r="F24" s="77"/>
      <x:c r="G24" s="96">
        <x:f>SUM(G22:G23)</x:f>
        <x:v>97020000</x:v>
      </x:c>
      <x:c r="H24" s="76"/>
      <x:c r="I24" s="17"/>
      <x:c r="J24" s="99"/>
      <x:c r="K24" s="99"/>
      <x:c r="M24" s="89"/>
      <x:c r="N24" s="102"/>
      <x:c r="O24" s="102"/>
      <x:c r="P24" s="100"/>
      <x:c r="Q24" s="18"/>
      <x:c r="R24" s="18"/>
      <x:c r="S24" s="18"/>
      <x:c r="T24" s="18"/>
      <x:c r="U24" s="18"/>
    </x:row>
    <x:row r="25" spans="1:21" s="19" customFormat="1" ht="22.5" customHeight="1">
      <x:c r="A25" s="125" t="s">
        <x:v>22</x:v>
      </x:c>
      <x:c r="B25" s="126"/>
      <x:c r="C25" s="127" t="s">
        <x:v>2</x:v>
      </x:c>
      <x:c r="D25" s="128"/>
      <x:c r="E25" s="128"/>
      <x:c r="F25" s="128"/>
      <x:c r="G25" s="128"/>
      <x:c r="H25" s="129"/>
      <x:c r="I25" s="17"/>
      <x:c r="J25" s="104"/>
      <x:c r="K25" s="105"/>
      <x:c r="L25" s="18"/>
      <x:c r="M25" s="18"/>
      <x:c r="N25" s="18"/>
      <x:c r="O25" s="17"/>
      <x:c r="P25" s="100"/>
      <x:c r="Q25" s="18"/>
      <x:c r="R25" s="18"/>
      <x:c r="S25" s="18"/>
      <x:c r="T25" s="18"/>
      <x:c r="U25" s="18"/>
    </x:row>
    <x:row r="26" spans="1:16" s="19" customFormat="1" ht="22.5" customHeight="1">
      <x:c r="A26" s="20" t="s">
        <x:v>29</x:v>
      </x:c>
      <x:c r="B26" s="21"/>
      <x:c r="C26" s="22"/>
      <x:c r="D26" s="23"/>
      <x:c r="E26" s="24"/>
      <x:c r="F26" s="97"/>
      <x:c r="G26" s="97"/>
      <x:c r="H26" s="97"/>
      <x:c r="I26" s="17"/>
      <x:c r="J26" s="112"/>
      <x:c r="K26" s="18"/>
      <x:c r="L26" s="113"/>
      <x:c r="M26" s="18"/>
      <x:c r="N26" s="18"/>
      <x:c r="O26" s="17"/>
      <x:c r="P26" s="100"/>
    </x:row>
    <x:row r="27" spans="1:16" s="67" customFormat="1" ht="22.5" customHeight="1">
      <x:c r="A27" s="29" t="s">
        <x:v>0</x:v>
      </x:c>
      <x:c r="B27" s="29"/>
      <x:c r="C27" s="29"/>
      <x:c r="D27" s="29"/>
      <x:c r="E27" s="29"/>
      <x:c r="F27" s="24"/>
      <x:c r="G27" s="24"/>
      <x:c r="H27" s="24"/>
      <x:c r="I27" s="65"/>
      <x:c r="J27" s="65"/>
      <x:c r="K27" s="66"/>
      <x:c r="L27" s="66"/>
      <x:c r="M27" s="66"/>
      <x:c r="N27" s="66"/>
      <x:c r="O27" s="66"/>
      <x:c r="P27" s="66"/>
    </x:row>
    <x:row r="28" spans="1:15" s="25" customFormat="1" ht="18" customHeight="1">
      <x:c r="A28" s="29" t="s">
        <x:v>12</x:v>
      </x:c>
      <x:c r="B28" s="29"/>
      <x:c r="C28" s="29"/>
      <x:c r="D28" s="29"/>
      <x:c r="E28" s="29"/>
      <x:c r="F28" s="24"/>
      <x:c r="G28" s="24"/>
      <x:c r="H28" s="24"/>
      <x:c r="J28" s="110"/>
      <x:c r="K28" s="27"/>
      <x:c r="L28" s="26"/>
      <x:c r="N28" s="28"/>
      <x:c r="O28" s="26"/>
    </x:row>
    <x:row r="29" spans="1:13">
      <x:c r="A29" s="29" t="s">
        <x:v>7</x:v>
      </x:c>
      <x:c r="B29" s="29"/>
      <x:c r="C29" s="29"/>
      <x:c r="D29" s="29"/>
      <x:c r="E29" s="29"/>
      <x:c r="F29" s="24"/>
      <x:c r="G29" s="24"/>
      <x:c r="H29" s="24"/>
      <x:c r="M29" s="107"/>
    </x:row>
    <x:row r="30" spans="1:13">
      <x:c r="A30" s="29"/>
      <x:c r="B30" s="29"/>
      <x:c r="C30" s="29"/>
      <x:c r="D30" s="29"/>
      <x:c r="E30" s="29"/>
      <x:c r="F30" s="29"/>
      <x:c r="G30" s="29"/>
      <x:c r="H30" s="29"/>
      <x:c r="M30" s="111"/>
    </x:row>
    <x:row r="31" spans="1:19" s="17" customFormat="1">
      <x:c r="A31" s="31"/>
      <x:c r="B31" s="31"/>
      <x:c r="C31" s="31"/>
      <x:c r="D31" s="31"/>
      <x:c r="E31" s="31"/>
      <x:c r="F31" s="31"/>
      <x:c r="G31" s="31"/>
      <x:c r="H31" s="31"/>
      <x:c r="J31" s="111"/>
      <x:c r="K31" s="18"/>
      <x:c r="L31" s="18"/>
      <x:c r="M31" s="108"/>
      <x:c r="N31" s="18"/>
      <x:c r="O31" s="18"/>
      <x:c r="P31" s="30"/>
      <x:c r="Q31" s="31"/>
      <x:c r="R31" s="31"/>
      <x:c r="S31" s="31"/>
    </x:row>
    <x:row r="32" spans="1:19" s="17" customFormat="1">
      <x:c r="A32" s="31"/>
      <x:c r="B32" s="31"/>
      <x:c r="C32" s="31"/>
      <x:c r="D32" s="31"/>
      <x:c r="E32" s="31"/>
      <x:c r="F32" s="31"/>
      <x:c r="G32" s="31"/>
      <x:c r="H32" s="31"/>
      <x:c r="K32" s="18"/>
      <x:c r="L32" s="18"/>
      <x:c r="M32" s="106"/>
      <x:c r="N32" s="18"/>
      <x:c r="O32" s="18"/>
      <x:c r="P32" s="30"/>
      <x:c r="Q32" s="31"/>
      <x:c r="R32" s="31"/>
      <x:c r="S32" s="31"/>
    </x:row>
    <x:row r="33" spans="13:13">
      <x:c r="M33" s="109"/>
    </x:row>
    <x:row r="34" spans="13:13">
      <x:c r="M34" s="106"/>
    </x:row>
    <x:row r="35" spans="13:13">
      <x:c r="M35" s="109"/>
    </x:row>
    <x:row r="36" spans="13:13">
      <x:c r="M36" s="106"/>
    </x:row>
    <x:row r="37" spans="13:13">
      <x:c r="M37" s="109"/>
    </x:row>
    <x:row r="38" spans="13:13">
      <x:c r="M38" s="106"/>
    </x:row>
    <x:row r="39" spans="13:13">
      <x:c r="M39" s="108"/>
    </x:row>
  </x:sheetData>
  <x:sheetProtection sheet="0" objects="0" scenarios="0" formatCells="1" formatColumns="1" formatRows="1" insertColumns="1" insertRows="1" insertHyperlinks="1" deleteColumns="1" deleteRows="1" selectLockedCells="0" sort="1" autoFilter="1" pivotTables="1" selectUnlockedCells="0"/>
  <x:mergeCells count="23">
    <x:mergeCell ref="N21:O21"/>
    <x:mergeCell ref="N22:O22"/>
    <x:mergeCell ref="N23:O23"/>
    <x:mergeCell ref="A25:B25"/>
    <x:mergeCell ref="C25:H25"/>
    <x:mergeCell ref="N20:O20"/>
    <x:mergeCell ref="A11:H11"/>
    <x:mergeCell ref="B13:C13"/>
    <x:mergeCell ref="N13:O13"/>
    <x:mergeCell ref="N14:O14"/>
    <x:mergeCell ref="N19:O19"/>
    <x:mergeCell ref="N18:O18"/>
    <x:mergeCell ref="N16:O16"/>
    <x:mergeCell ref="A18:H18"/>
    <x:mergeCell ref="K9:M9"/>
    <x:mergeCell ref="A1:H1"/>
    <x:mergeCell ref="K4:M4"/>
    <x:mergeCell ref="K5:L5"/>
    <x:mergeCell ref="O5:R5"/>
    <x:mergeCell ref="P6:R6"/>
    <x:mergeCell ref="K7:L7"/>
    <x:mergeCell ref="O7:O8"/>
    <x:mergeCell ref="P7:R8"/>
  </x:mergeCells>
  <x:printOptions horizontalCentered="1" verticalCentered="0" headings="0" gridLines="0" gridLinesSet="1"/>
  <x:pageMargins left="0.31999999284744263" right="0.27555555105209351" top="0.90541666746139526" bottom="0.47236111760139465" header="0.31486111879348755" footer="0.31486111879348755"/>
  <x:pageSetup paperSize="9" scale="100" firstPageNumber="1" fitToWidth="1" fitToHeight="1" orientation="portrait" usePrinterDefaults="1" blackAndWhite="0" draft="0" useFirstPageNumber="0" horizontalDpi="65533" verticalDpi="65533" copies="1"/>
  <x:drawing r:id="rId1"/>
  <x:legacyDrawing r:id="rId2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LED조명</vt:lpstr>
    </vt:vector>
  </ep:TitlesOfParts>
  <ep:TotalTime>0</ep:TotalTime>
  <ep:AppVersion>12.0300</ep:AppVersion>
</ep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PADIEM standard template</dc:creator>
  <ns0:lastModifiedBy>PADIEM standard template</ns0:lastModifiedBy>
  <ns0:revision>1</ns0:revision>
  <ns0:lastPrinted>2022-06-21T01:00:51.000</ns0:lastPrinted>
  <ns2:created xsi:type="dcterms:W3CDTF">2007-04-20T06:31:41.000</ns2:created>
  <ns2:modified xsi:type="dcterms:W3CDTF">2026-10-06T10:17:27.425</ns2:modified>
  <ns0:version>1100.0100.01</ns0:version>
</ns0:coreProperties>
</file>